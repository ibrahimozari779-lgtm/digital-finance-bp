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336caf02469c9e/Documents/HR/Hiring/Controller/"/>
    </mc:Choice>
  </mc:AlternateContent>
  <xr:revisionPtr revIDLastSave="5" documentId="8_{E4DC919E-0B9C-4641-A8AE-5546BBBB1707}" xr6:coauthVersionLast="45" xr6:coauthVersionMax="45" xr10:uidLastSave="{79C19379-8795-488C-ABCC-4F7944A4DD54}"/>
  <bookViews>
    <workbookView xWindow="-110" yWindow="-110" windowWidth="19420" windowHeight="10420" activeTab="2" xr2:uid="{00000000-000D-0000-FFFF-FFFF00000000}"/>
  </bookViews>
  <sheets>
    <sheet name="BALANCE SHEET - ASSETS" sheetId="1" r:id="rId1"/>
    <sheet name="BALANCE SHEET - LIABILITIES" sheetId="2" r:id="rId2"/>
    <sheet name="INCOME STATEMENT" sheetId="5" r:id="rId3"/>
  </sheets>
  <definedNames>
    <definedName name="dolar">'BALANCE SHEET - ASSETS'!#REF!</definedName>
    <definedName name="dolar2">'BALANCE SHEET - ASSETS'!#REF!</definedName>
    <definedName name="_xlnm.Print_Area" localSheetId="0">'BALANCE SHEET - ASSETS'!$B$2:$F$130</definedName>
    <definedName name="_xlnm.Print_Area" localSheetId="1">'BALANCE SHEET - LIABILITIES'!$B$2:$F$121</definedName>
    <definedName name="_xlnm.Print_Area" localSheetId="2">'INCOME STATEMENT'!$B$1:$F$59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7" i="2" l="1"/>
  <c r="F101" i="2"/>
  <c r="F97" i="2"/>
  <c r="F52" i="2"/>
  <c r="F49" i="2"/>
  <c r="F41" i="2"/>
  <c r="F35" i="2"/>
  <c r="F33" i="2"/>
  <c r="F30" i="2"/>
  <c r="F23" i="2"/>
  <c r="F17" i="2"/>
  <c r="F7" i="2"/>
  <c r="F120" i="1"/>
  <c r="F117" i="1"/>
  <c r="F102" i="1"/>
  <c r="F111" i="1"/>
  <c r="F91" i="1"/>
  <c r="F80" i="1"/>
  <c r="F72" i="1"/>
  <c r="F66" i="1"/>
  <c r="F53" i="1"/>
  <c r="F49" i="1"/>
  <c r="F45" i="1"/>
  <c r="F37" i="1"/>
  <c r="F28" i="1"/>
  <c r="F20" i="1"/>
  <c r="F14" i="1"/>
  <c r="F8" i="1"/>
  <c r="F6" i="2"/>
  <c r="F58" i="2"/>
  <c r="F7" i="1"/>
  <c r="F63" i="1"/>
  <c r="F65" i="1"/>
  <c r="F107" i="2"/>
  <c r="F42" i="5"/>
  <c r="F5" i="5"/>
  <c r="F35" i="5"/>
  <c r="F25" i="5"/>
  <c r="F14" i="5"/>
  <c r="F49" i="5"/>
  <c r="F20" i="5"/>
  <c r="F115" i="2"/>
  <c r="F113" i="2"/>
  <c r="F96" i="2"/>
  <c r="F120" i="2"/>
  <c r="F121" i="2"/>
  <c r="F46" i="5"/>
  <c r="F9" i="5"/>
  <c r="F13" i="5"/>
  <c r="F19" i="5"/>
  <c r="F129" i="1"/>
  <c r="F90" i="2"/>
  <c r="F87" i="2"/>
  <c r="F84" i="2"/>
  <c r="F81" i="2"/>
  <c r="F73" i="2"/>
  <c r="F67" i="2"/>
  <c r="F61" i="2"/>
  <c r="F130" i="1"/>
  <c r="G130" i="1"/>
  <c r="F24" i="5"/>
  <c r="F45" i="5"/>
  <c r="F53" i="5"/>
  <c r="F55" i="5"/>
</calcChain>
</file>

<file path=xl/sharedStrings.xml><?xml version="1.0" encoding="utf-8"?>
<sst xmlns="http://schemas.openxmlformats.org/spreadsheetml/2006/main" count="580" uniqueCount="489">
  <si>
    <t>AKTİF (VARLIKLAR)</t>
  </si>
  <si>
    <t>ASSETS</t>
  </si>
  <si>
    <t xml:space="preserve"> </t>
  </si>
  <si>
    <t>DÖNEN VARLIKLAR</t>
  </si>
  <si>
    <t>CURRENT ASSETS</t>
  </si>
  <si>
    <t>Hazır Değerler</t>
  </si>
  <si>
    <t>Liquid Assets</t>
  </si>
  <si>
    <t>Kasa</t>
  </si>
  <si>
    <t>CASH AND CASH EQUIVALENTS</t>
  </si>
  <si>
    <t>Alınan çekler</t>
  </si>
  <si>
    <t>CHEQUES RECEIVED</t>
  </si>
  <si>
    <t>Bankalar</t>
  </si>
  <si>
    <t>CASH IN BANKS</t>
  </si>
  <si>
    <t>Verilen Çekler ve Ödeme Emirleri (-)</t>
  </si>
  <si>
    <t>CHEQUES ISSUED AND PAYMENT ORDERS (-)</t>
  </si>
  <si>
    <t>Diğer Hazır Değerler</t>
  </si>
  <si>
    <t>OTHER LIQUID ASSETS</t>
  </si>
  <si>
    <t>Menkul Kıymetler</t>
  </si>
  <si>
    <t>Securities</t>
  </si>
  <si>
    <t>Hisse senetleri</t>
  </si>
  <si>
    <t>STOCKS</t>
  </si>
  <si>
    <t>Özel Kesim Tahvil .Senet ve Bonoları</t>
  </si>
  <si>
    <t xml:space="preserve">OBLIGATION NOTES AND BONDS OF PRİVATE SECTOR </t>
  </si>
  <si>
    <t>Kamu Kesimi Tahvil. Senet ve Bonoları</t>
  </si>
  <si>
    <t xml:space="preserve">OBLIGATION NOTES AND BONDS OF PUBLIC SECTOR </t>
  </si>
  <si>
    <t>Diğer Menkul Kıymetler</t>
  </si>
  <si>
    <t>OTHER SECURITIES</t>
  </si>
  <si>
    <t>Menkul Kıymetler Değer Düşüklüğü Karşılığı (-)</t>
  </si>
  <si>
    <t>Ticari Alacaklar</t>
  </si>
  <si>
    <t>TRADE RECEIVABLE</t>
  </si>
  <si>
    <t>Alıcılar</t>
  </si>
  <si>
    <t>BUYERS</t>
  </si>
  <si>
    <t>Alacak Senetleri</t>
  </si>
  <si>
    <t>NOTES RECEIVABLE</t>
  </si>
  <si>
    <t>Alacak Senetleri Reeskontu(-)</t>
  </si>
  <si>
    <t>DISCOUNTS OF NOTES RECEIVABLE (-)</t>
  </si>
  <si>
    <t>Verilen Depozito ve Teminatlar</t>
  </si>
  <si>
    <t>DEPOSITS AND GUARANTEES GIVEN</t>
  </si>
  <si>
    <t>Diğer Ticari Alacaklar</t>
  </si>
  <si>
    <t>OTHER COMMERCIAL RECEIVABLES</t>
  </si>
  <si>
    <t>Şüpheli Ticari Alacaklar</t>
  </si>
  <si>
    <t xml:space="preserve">DOUBTFUL COMMERCIAL RECEIVABLE </t>
  </si>
  <si>
    <t>Şüpheli Ticari Alacaklar Karşılığı (-)</t>
  </si>
  <si>
    <t>ALLOWANCE FOR SPECIFIC DOUBFUL DEBTS (-)</t>
  </si>
  <si>
    <t>Diğer Alacaklar</t>
  </si>
  <si>
    <t>Ortaklardan Alacaklar</t>
  </si>
  <si>
    <t>DUE FROM SHAREHOLDERS</t>
  </si>
  <si>
    <t>İştiraklerden Alacaklar</t>
  </si>
  <si>
    <t>DUE FROM AFFILIATES</t>
  </si>
  <si>
    <t>Bağlı Ortaklıklardan Alacaklar</t>
  </si>
  <si>
    <t>DUE FROM SUBSIDIARIES</t>
  </si>
  <si>
    <t>Personelden Alacaklar</t>
  </si>
  <si>
    <t>DUE FROM STAFF</t>
  </si>
  <si>
    <t>Diğer Çeşitli Alacaklar</t>
  </si>
  <si>
    <t>Diğer Alacak Senetleri Reeskontu (-)</t>
  </si>
  <si>
    <t>Şüpheli Diğer Alacaklar</t>
  </si>
  <si>
    <t>OTHER DOUBTFUL RECEIVABLES</t>
  </si>
  <si>
    <t>Şüpheli Diğer Alacaklar Karşılığı (-)</t>
  </si>
  <si>
    <t>Stoklar</t>
  </si>
  <si>
    <t>INVENTORIES</t>
  </si>
  <si>
    <t>İlk Madde ve Malzeme</t>
  </si>
  <si>
    <t>RAW MATERIALS AND SUPPLIES</t>
  </si>
  <si>
    <t>Yarı Mamüller-Üretim</t>
  </si>
  <si>
    <t>WORK IN PROCESS</t>
  </si>
  <si>
    <t>Mamüller</t>
  </si>
  <si>
    <t>FINISHED GOODS</t>
  </si>
  <si>
    <t>Ticari Mallar</t>
  </si>
  <si>
    <t>COMMERCIAL GOODS</t>
  </si>
  <si>
    <t>Diğer Stoklar</t>
  </si>
  <si>
    <t>OTHER INVENTORIES</t>
  </si>
  <si>
    <t>Stok Değer Düşüklüğü Karşılığı (-)</t>
  </si>
  <si>
    <t>Verilen Sipariş Avansları</t>
  </si>
  <si>
    <t>ADVANCES GIVEN FOR PURCHASES</t>
  </si>
  <si>
    <t>Yıllara Yaygın İnş.ve Onarım Maaliyetleri</t>
  </si>
  <si>
    <t>Taşeronlara Verilen Avanslar</t>
  </si>
  <si>
    <t>Gelecek Aylara Ait Gid.ve Gelir Tah.</t>
  </si>
  <si>
    <t>EXPENSES AND REALIZED INCOME OF COMING MONTHS</t>
  </si>
  <si>
    <t>Gelecek Aylara Ait  Giderler</t>
  </si>
  <si>
    <t>EXPENSES OF COMING MONTHS</t>
  </si>
  <si>
    <t>Gelir Tahakkukları</t>
  </si>
  <si>
    <t>ACCRUED INCOME</t>
  </si>
  <si>
    <t>Diğer Dönen Varlıklar</t>
  </si>
  <si>
    <t>OTHER CURRENT ASSETS</t>
  </si>
  <si>
    <t>Devreden KDV.</t>
  </si>
  <si>
    <t>DEFERRED V.A.T.</t>
  </si>
  <si>
    <t>İndirilecek KDV</t>
  </si>
  <si>
    <t>V.A.T. TO BE REDUCED</t>
  </si>
  <si>
    <t>Diğer KDV</t>
  </si>
  <si>
    <t>OTHER V.A.T.</t>
  </si>
  <si>
    <t>Peşin Ödenen Vergiler ve Fonlar</t>
  </si>
  <si>
    <t>TAXES AND FUND LEVIES PAID IN ADVANCE</t>
  </si>
  <si>
    <t>İş Avansları</t>
  </si>
  <si>
    <t>JOB ADVANCES</t>
  </si>
  <si>
    <t>Personel Avansları</t>
  </si>
  <si>
    <t>PERSONNEL ADVANCES</t>
  </si>
  <si>
    <t>Sayım Tesellüm Noksanları</t>
  </si>
  <si>
    <t>DEFICIENT IN COUNTING AND DELIVERY</t>
  </si>
  <si>
    <t>Diğer Çeşitli Dönen Varlıklar</t>
  </si>
  <si>
    <t>OTHER VARIOUS CURRENT ASSETS</t>
  </si>
  <si>
    <t>Diğer Dönen Varlıklar Karşılığı (-)</t>
  </si>
  <si>
    <t>ALLOWANCE FOR OTHER VARIOUS ASSETS (-)</t>
  </si>
  <si>
    <t>DÖNEN VARLIKLAR TOPLAMI</t>
  </si>
  <si>
    <t>TOTAL OF CURRENT ASSETS</t>
  </si>
  <si>
    <t>DURAN VARLIKLAR</t>
  </si>
  <si>
    <t>FIXED ASSETS</t>
  </si>
  <si>
    <t>COMMERCIAL RECEIVABLES</t>
  </si>
  <si>
    <t>Alacak Senetleri Reeskontu (-)</t>
  </si>
  <si>
    <t>REDISCOUNT OF NOTES RECEIVABLE (-)</t>
  </si>
  <si>
    <t>Şüpheli Alacaklar Karşılığı (-)</t>
  </si>
  <si>
    <t>ALLOWANCE FOR SPECIFIC DOUBTFUL DEBTS (-)</t>
  </si>
  <si>
    <t>DUE FROM SUBSIDIARES</t>
  </si>
  <si>
    <t>OTHER MISC.RECEIVABLES</t>
  </si>
  <si>
    <t>Mali Duran Varlıklar</t>
  </si>
  <si>
    <t>FINANCIAL FIXED ASSETS</t>
  </si>
  <si>
    <t>Bağlı Menkul Kıymetler</t>
  </si>
  <si>
    <t>LONG TERM SECURITIES</t>
  </si>
  <si>
    <t>Bağlı Menkul Kıymetler Değer Düşüklüğü Krş.(-)</t>
  </si>
  <si>
    <t>İştirakler</t>
  </si>
  <si>
    <t>AFFILIATES</t>
  </si>
  <si>
    <t>İştiraklere Sermaye Taahhütleri (-)</t>
  </si>
  <si>
    <t>İştiraklere Sermaye Payları Değer Düşüklüğü Krş.(-)</t>
  </si>
  <si>
    <t>Bağlı Ortaklıklar</t>
  </si>
  <si>
    <t>SUBSIDIARIES</t>
  </si>
  <si>
    <t>Bağlı Ortaklıklara Sermaye Taahh. (-)</t>
  </si>
  <si>
    <t>Bağlı Ortaklıklar Sermaye Payları Değer Düş.Karş.(-)</t>
  </si>
  <si>
    <t>Diğer Mali Duran Varlıklar</t>
  </si>
  <si>
    <t xml:space="preserve">OTHER FINANCIAL FIXED ASSETS </t>
  </si>
  <si>
    <t>Diğer Mali Duran Varlıklar Karşılığı (-)</t>
  </si>
  <si>
    <t>Maddi Duran Varlıklar</t>
  </si>
  <si>
    <t>TANGIBLE FIXED ASSETS</t>
  </si>
  <si>
    <t>Arazi ve Arsalar</t>
  </si>
  <si>
    <t>Yeraltı ve Yerüstü Düzenleri</t>
  </si>
  <si>
    <t>LAND IMPROVEMENTS</t>
  </si>
  <si>
    <t>Binalar</t>
  </si>
  <si>
    <t>BUILDINGS</t>
  </si>
  <si>
    <t>Tesis. Makina ve Cihazlar</t>
  </si>
  <si>
    <t>Taşıtlar</t>
  </si>
  <si>
    <t>TRANSPORTATION VEHICLES</t>
  </si>
  <si>
    <t>Demirbaşlar</t>
  </si>
  <si>
    <t>Diğer Maddi Duran Varlıklar</t>
  </si>
  <si>
    <t>OTHER TANGIBLE FIXED ASSETS</t>
  </si>
  <si>
    <t>Birikmiş Amortismanlar (-)</t>
  </si>
  <si>
    <t>Yapılmakta Olan Yatırımlar</t>
  </si>
  <si>
    <t>CONSTRUCTION IN PROGRESS</t>
  </si>
  <si>
    <t>Verilen Avanslar</t>
  </si>
  <si>
    <t>ADVANCES GIVEN</t>
  </si>
  <si>
    <t>Maddi Olmayan Duran Varlıklar</t>
  </si>
  <si>
    <t>INTANGIBLE FIXED ASSETS</t>
  </si>
  <si>
    <t>Haklar</t>
  </si>
  <si>
    <t>RIGHTS</t>
  </si>
  <si>
    <t>Şerefiye</t>
  </si>
  <si>
    <t>GOODWILL</t>
  </si>
  <si>
    <t>Kuruluş ve Örgütlenme Giderleri</t>
  </si>
  <si>
    <t>PRE-OPERATING EXPENSES</t>
  </si>
  <si>
    <t>Araştırma ve Geliştirme Giderleri</t>
  </si>
  <si>
    <t>Özel Maliyetler</t>
  </si>
  <si>
    <t>SPECIAL COSTS</t>
  </si>
  <si>
    <t>Diğer Maddi Olmayan Duran Varlıklar</t>
  </si>
  <si>
    <t>OTHER INTANGIBLE FIXED ASSETS</t>
  </si>
  <si>
    <t>Özel Tükenmeye Tabi Varlıklar</t>
  </si>
  <si>
    <t>Arama Giderleri</t>
  </si>
  <si>
    <t>EXPLORATION EXPENSES</t>
  </si>
  <si>
    <t>Hazırlık ve Geliştirme Giderleri</t>
  </si>
  <si>
    <t>PREP.AND DEV.EXPENSES</t>
  </si>
  <si>
    <t>Diğer Özel Tükenmeye Tabi Varlıklar</t>
  </si>
  <si>
    <t>Birikmiş Tükenme Payları (-)</t>
  </si>
  <si>
    <t>Gelecek Yıllara Ait Gid.ve Gelir Tahakukları</t>
  </si>
  <si>
    <t>Gelecek Yıllara Ait Giderler</t>
  </si>
  <si>
    <t>Gelir Tahhakkukları</t>
  </si>
  <si>
    <t>Diğer Duran Varlıklar</t>
  </si>
  <si>
    <t>Gelecek Yıllarda İndirilecek KDV</t>
  </si>
  <si>
    <t>DEDUCTABLE V.A.T. FUTURE YEARS</t>
  </si>
  <si>
    <t>Gelecek Yıllar İhtiyacı Stoklar</t>
  </si>
  <si>
    <t>INVENTORIES FOR FUTURE NEEDS</t>
  </si>
  <si>
    <t>Elden Çıkarılacak Stoklar ve Maddi Duran Varlıklar</t>
  </si>
  <si>
    <t>INVENTORIES HELD FOR SALE</t>
  </si>
  <si>
    <t>PREPAID TAXES AND FUNDS</t>
  </si>
  <si>
    <t>Diğer Çeşitli Duran Varlıklar</t>
  </si>
  <si>
    <t>OTHER FIXED ASSETS</t>
  </si>
  <si>
    <t>DURAN VARLIKLAR TOPLAMI</t>
  </si>
  <si>
    <t>TOTAL OF FIXED ASSETS</t>
  </si>
  <si>
    <t>AKTİF (VARLIKLAR) TOPLAMI</t>
  </si>
  <si>
    <t>TOTAL OF ASSETS</t>
  </si>
  <si>
    <t>PASİF (KAYNAKLAR)</t>
  </si>
  <si>
    <t>LIABILITIES</t>
  </si>
  <si>
    <t>KISA VADELİ YABANCI KAYNAK</t>
  </si>
  <si>
    <t>Mali Borçlar</t>
  </si>
  <si>
    <t>Banka Kredileri</t>
  </si>
  <si>
    <t>BANK LOANS</t>
  </si>
  <si>
    <t>K.V Kredilerin Anapara Taksitleri ve Faizleri</t>
  </si>
  <si>
    <t>Tahvil. Anapara. Borç. Taksit ve Faizleri</t>
  </si>
  <si>
    <t>Çıkarılmış Bonolar ve Senetler</t>
  </si>
  <si>
    <t>BONDS / NOTES ISSUED</t>
  </si>
  <si>
    <t>Çıkarılmış Diğer Menkul Kıymetler</t>
  </si>
  <si>
    <t>OTHER SECURITIES ISSUED</t>
  </si>
  <si>
    <t>Menkul Kıymetler İhraç Farkı (-)</t>
  </si>
  <si>
    <t>Diğer Mali Borçlar</t>
  </si>
  <si>
    <t>OTHER FINANCIAL LIABILITIES</t>
  </si>
  <si>
    <t>Ticari Borçlar</t>
  </si>
  <si>
    <t>Satıcılar</t>
  </si>
  <si>
    <t>ACCOUNTS PAYABLE</t>
  </si>
  <si>
    <t>Borç Senetleri</t>
  </si>
  <si>
    <t>NOTES PAYABLE</t>
  </si>
  <si>
    <t>Borç Senetleri Reeskontu (-)</t>
  </si>
  <si>
    <t>Alınan Depozito ve Teminatlar</t>
  </si>
  <si>
    <t>Diğer Ticari Borçlar</t>
  </si>
  <si>
    <t>Diğer Borçlar</t>
  </si>
  <si>
    <t>Ortaklara Borçlar</t>
  </si>
  <si>
    <t>İstiraklere Borçlar</t>
  </si>
  <si>
    <t>Bağlı Ortaklıklara Borçlar</t>
  </si>
  <si>
    <t>Personele Borçlar</t>
  </si>
  <si>
    <t>Diğer Çeşitli Borçlar</t>
  </si>
  <si>
    <t>Diğer Borç Senetleri Reeskontu (-)</t>
  </si>
  <si>
    <t>Alınan Avanslar</t>
  </si>
  <si>
    <t>Alınan Sipariş Avansları</t>
  </si>
  <si>
    <t>Alınan Diğer Avanslar</t>
  </si>
  <si>
    <t>Yıllara Yaygın İnş. ve Onarım Hakedişleri</t>
  </si>
  <si>
    <t>35.Yıllara Yaygın İnş. ve Onarım Hakedişleri</t>
  </si>
  <si>
    <t>Ödenecek Vergi ve Diğer Yükümlülükler</t>
  </si>
  <si>
    <t>Ödenecek Vergi ve Fonlar</t>
  </si>
  <si>
    <t>Ödenecek Sosyal Güvenlik Kesintileri</t>
  </si>
  <si>
    <t>Vadesi Geçmiş,Ertelenmiş veya Taksitlendirilmiş</t>
  </si>
  <si>
    <t>Vergi ve Diğer Yükümlülükler</t>
  </si>
  <si>
    <t>Ödenecek Diğer Yükümlülükler</t>
  </si>
  <si>
    <t>Borç ve Gider Karşılıkları</t>
  </si>
  <si>
    <t>RESERVES FOR DEBTS AND EXPENSES</t>
  </si>
  <si>
    <t xml:space="preserve">Dönem Karı Vergi ve Diğer Yasal </t>
  </si>
  <si>
    <t>Yükümlülükler Karşılıkları</t>
  </si>
  <si>
    <t>Dönem Karının Peşin Ödenen Vergi ve Diğer</t>
  </si>
  <si>
    <t>Yükümlülükleri (-)</t>
  </si>
  <si>
    <t>Kıdem Tazminatı Karşılığı</t>
  </si>
  <si>
    <t>PROV./ TERMINATION INDEMNITIES</t>
  </si>
  <si>
    <t>Maliyet Giderleri Karşılığı</t>
  </si>
  <si>
    <t>Diğer Borç ve Gider Karşılıkları</t>
  </si>
  <si>
    <t>PROV. / OTHER  LIABILITIES</t>
  </si>
  <si>
    <t>Gelecek Aylara Ait Gelirler ve Gid. Tahakkuk</t>
  </si>
  <si>
    <t>INCOMES AND REALIZED EXPENSES OF COMING MONTHS</t>
  </si>
  <si>
    <t>Gelecek Aylara Ait Gelirler</t>
  </si>
  <si>
    <t>Gider Tahakkukları</t>
  </si>
  <si>
    <t>Diğer Kısa Vadeli Yabancı Kaynaklar</t>
  </si>
  <si>
    <t>Hesaplanan KDV</t>
  </si>
  <si>
    <t>CALCULATED V.A.T.</t>
  </si>
  <si>
    <t>Merkez ve Şubeler Cari Hesabı</t>
  </si>
  <si>
    <t>Sayım ve Tesellüm Fazlaları</t>
  </si>
  <si>
    <t>Diğer Çeşitli Yabancı Kaynaklar</t>
  </si>
  <si>
    <t>KISA VADELİ YABANCI KAYNAKLAR TOP.</t>
  </si>
  <si>
    <t>UZUN VADELİ YABANCI KAYNAKLAR</t>
  </si>
  <si>
    <t>Banka Borçları</t>
  </si>
  <si>
    <t>Çıkarılmış Tahviller</t>
  </si>
  <si>
    <t>İştiraklere Borçlar</t>
  </si>
  <si>
    <t>Kamuya Olan Ertelenmiş Veya</t>
  </si>
  <si>
    <t>Taksitlendirilmiş Borçlar</t>
  </si>
  <si>
    <t>ADVANCES RECEIVED</t>
  </si>
  <si>
    <t>PROV. /  DEBTS &amp; EXP.</t>
  </si>
  <si>
    <t>PROV. / RETIREMENT  FEES</t>
  </si>
  <si>
    <t>PROV. / OTHER  DEBTS &amp; EXP.</t>
  </si>
  <si>
    <t>Gelecek Yıllara Ait Gel.ve Gid.Karşılıkları</t>
  </si>
  <si>
    <t>Gelecek Yıllara Ait Gelirler</t>
  </si>
  <si>
    <t>Diğer Uzun Vadeli Yabancı Kaynaklar</t>
  </si>
  <si>
    <t>Gelecek Yıllara Ertelenen veya Terkin</t>
  </si>
  <si>
    <t>Edilecek KDV</t>
  </si>
  <si>
    <t>Tesise Katılma Payları</t>
  </si>
  <si>
    <t>Diğer Çeşitli Uzun Vadeli Yabancı Kaynaklar</t>
  </si>
  <si>
    <t>UZUN VADELİ YABANCI KAYNAKLAR TOP.</t>
  </si>
  <si>
    <t>ÖZKAYNAKLAR</t>
  </si>
  <si>
    <t>Ödenmiş Sermaye</t>
  </si>
  <si>
    <t>Sermaye</t>
  </si>
  <si>
    <t>CAPITAL</t>
  </si>
  <si>
    <t>Ödenmemiş Sermaye (-)</t>
  </si>
  <si>
    <t>OUTSTANDING CAPITAL (-)</t>
  </si>
  <si>
    <t>Sermaye Yedekleri</t>
  </si>
  <si>
    <t>Hisse Senetleri İhraç Primleri</t>
  </si>
  <si>
    <t>Hisse Senedi İptal Karları</t>
  </si>
  <si>
    <t>M.D.V Yeniden Değerleme Artışları</t>
  </si>
  <si>
    <t>İştirakler Yeniden Değerleme Artışları</t>
  </si>
  <si>
    <t>Diğer Sermaye Yedekleri</t>
  </si>
  <si>
    <t>Kar Yedekleri</t>
  </si>
  <si>
    <t>Yasal Yedekler</t>
  </si>
  <si>
    <t>Statü Yedekleri</t>
  </si>
  <si>
    <t>STATUTORY RESERVES</t>
  </si>
  <si>
    <t>Olağanüstü Yedekler</t>
  </si>
  <si>
    <t>Diğer Kar Yedekleri</t>
  </si>
  <si>
    <t>Özel Fonlar</t>
  </si>
  <si>
    <t>Geçmiş Yıllar Karları</t>
  </si>
  <si>
    <t>PROFIT OF PREVIOUS YEARS</t>
  </si>
  <si>
    <t>Geçmiş Yıllar Zararları (-)</t>
  </si>
  <si>
    <t>Geçmiş Yıllar Zararları</t>
  </si>
  <si>
    <t>LOSSES FROM PREVIOUS YEARS</t>
  </si>
  <si>
    <t>Dönem Net Karı (Zararı)</t>
  </si>
  <si>
    <t>NET INCOME FOR THE PERIOD</t>
  </si>
  <si>
    <t>Dönem Net Karı</t>
  </si>
  <si>
    <t>Dönem Net Zararı (-)</t>
  </si>
  <si>
    <t>NET LOSS FOR THE PERIOD</t>
  </si>
  <si>
    <t>ÖZKAYNAKLAR TOPLAMI</t>
  </si>
  <si>
    <t>PASİF (KAYNAKLAR) TOPLAMI</t>
  </si>
  <si>
    <t>BRÜT SATIŞLAR</t>
  </si>
  <si>
    <t>GROSS SALES</t>
  </si>
  <si>
    <t>Yurtiçi Satışlar</t>
  </si>
  <si>
    <t>Domestıc Sales</t>
  </si>
  <si>
    <t>Yurtdışı Satışlar</t>
  </si>
  <si>
    <t>Export Sales</t>
  </si>
  <si>
    <t>Diğer Gelirler</t>
  </si>
  <si>
    <t>Other Income</t>
  </si>
  <si>
    <t>SATIŞ İNDİRİMLERİ(-)</t>
  </si>
  <si>
    <t>Satıştan İadeler(-)</t>
  </si>
  <si>
    <t>Satış İskontoları(-)</t>
  </si>
  <si>
    <t>Diğer İndirimler(-)</t>
  </si>
  <si>
    <t>NET SATIŞLAR</t>
  </si>
  <si>
    <t>NET SALES</t>
  </si>
  <si>
    <t>SATIŞLARIN MALİYETİ(-)</t>
  </si>
  <si>
    <t>Satılan Mamuller Maliyeti(-)</t>
  </si>
  <si>
    <t>Satılan Ticari  Mallar Maliyeti(-)</t>
  </si>
  <si>
    <t>Satılan Hizmet Maliyeti(-)</t>
  </si>
  <si>
    <t>Diğer Satışların Maliyeti(-)</t>
  </si>
  <si>
    <t>BRÜT SATIŞ KARI VEYA ZARARI</t>
  </si>
  <si>
    <t>PROFIT OR LOSS FROM GROSS SALES</t>
  </si>
  <si>
    <t>FAALİYET GİDERLERİ(-)</t>
  </si>
  <si>
    <t>Araştırma ve Geliştirme Giderleri(-)</t>
  </si>
  <si>
    <t>Pazarlama. Satış ve Dağıtım Giderleri(-)</t>
  </si>
  <si>
    <t>Genel Yönetim Giderleri(-)</t>
  </si>
  <si>
    <t>FAALİYET KARI VEYA ZARARI</t>
  </si>
  <si>
    <t>OPERATING PROFIT OR LOSS</t>
  </si>
  <si>
    <t>DİĞER FAAL. OLAĞAN GELİR VE KARLAR</t>
  </si>
  <si>
    <t>İştiraklerden Temettü Gelirleri</t>
  </si>
  <si>
    <t>Bağlı Ortaklıklardan Temettü Gelirleri</t>
  </si>
  <si>
    <t>Faiz Gelirleri</t>
  </si>
  <si>
    <t>Interest Income</t>
  </si>
  <si>
    <t>Komisyon Gelirleri</t>
  </si>
  <si>
    <t>Konusu Kalmayan Karşılıklar</t>
  </si>
  <si>
    <t>Menkul Kıymet Satış Karları</t>
  </si>
  <si>
    <t>Kambiyo Karları</t>
  </si>
  <si>
    <t>Reeskont Faiz Gelirleri</t>
  </si>
  <si>
    <t>Faaliyetle İlgili Diğer Gelir ve Karlar</t>
  </si>
  <si>
    <t>DİĞER FAAL. OLAĞAN GİD. VE ZARAR(-)</t>
  </si>
  <si>
    <t>Komisyon Giderleri (-)</t>
  </si>
  <si>
    <t>Karşılık Giderleri (-)</t>
  </si>
  <si>
    <t>Menkul Kıymet Satış Zararları (-)</t>
  </si>
  <si>
    <t>Kambiyo Zararları (-)</t>
  </si>
  <si>
    <t>Reeskont Faiz Giderleri (-)</t>
  </si>
  <si>
    <t>Diğer Gider ve Zararlar (-)</t>
  </si>
  <si>
    <t>FİNANSMAN GİDERLERİ(-)</t>
  </si>
  <si>
    <t>Kısa Vadeli Borçlanma Giderleri</t>
  </si>
  <si>
    <t>Uzun Vadeli Borçlanma Giderleri</t>
  </si>
  <si>
    <t>OLAĞAN KAR VEYA ZARAR</t>
  </si>
  <si>
    <t>OLAĞANDIŞI GELİR VE KARLAR</t>
  </si>
  <si>
    <t>Önceki Dönem Gelir ve Karları</t>
  </si>
  <si>
    <t>Diğer Olağandışı Gelir ve Karlar</t>
  </si>
  <si>
    <t>OLAĞANDIŞI GİDER VE ZARARLAR(-)</t>
  </si>
  <si>
    <t>Çalışmayan Kısım Gider ve Zararları (-)</t>
  </si>
  <si>
    <t>Önceki Dönem Gider ve Zararları (-)</t>
  </si>
  <si>
    <t>Diğer Olağandışı Gider ve Zararları (-)</t>
  </si>
  <si>
    <t>690.DÖNEM KARI VEYA ZARARI</t>
  </si>
  <si>
    <t>INCOME OR LOSS FOR THE PERIOD</t>
  </si>
  <si>
    <t>Dönem Karı Vergi ve Yasal Yükümlülük Karşılıkları (-)</t>
  </si>
  <si>
    <t>692.DÖNEM NET KARI VEYA ZARARI</t>
  </si>
  <si>
    <t>NET PERIOD PROFIT OR LOSS</t>
  </si>
  <si>
    <t>REDISCOUNTS OTHER / PROMISSORY (-)</t>
  </si>
  <si>
    <t>ACCUMULATED DEPRECIATIONS (-)</t>
  </si>
  <si>
    <t>PROVISIONS FOR STOCK LOSSES (-)</t>
  </si>
  <si>
    <t>Sermaye Olumlu farkları</t>
  </si>
  <si>
    <t>Dividend Income From Affiliate</t>
  </si>
  <si>
    <t>Dividend Income From Subsidiaries</t>
  </si>
  <si>
    <t>Commission Income</t>
  </si>
  <si>
    <t>Provisions No Longer Required</t>
  </si>
  <si>
    <t>Profit on Sale of Marketable Securities</t>
  </si>
  <si>
    <t>Profıt From Foreign Currency Exchanges</t>
  </si>
  <si>
    <t>Rediscount Interest Gains</t>
  </si>
  <si>
    <t>Other Operational Income</t>
  </si>
  <si>
    <t>Prior Period Revenues / Profıt</t>
  </si>
  <si>
    <t>Other Non-Operating Revenues / Profit</t>
  </si>
  <si>
    <t>SPECIAL AMORTIZABLE ASSETS</t>
  </si>
  <si>
    <t>OTHER SPECIAL AMORTIZABLE ASSETS</t>
  </si>
  <si>
    <t>PREPAID EXPENSES FUTURE PERIODS</t>
  </si>
  <si>
    <t>RESEARCH / DEVELOPMENT EXPENSES</t>
  </si>
  <si>
    <t>MACHINERY INSTALLATIONS AND EQUIPMENT</t>
  </si>
  <si>
    <t>FURNITURE / FIXTURES AND FITTINGS</t>
  </si>
  <si>
    <t>PROV.FOR DECREASE VALUE OF INVENTORIES (-)</t>
  </si>
  <si>
    <t>REDISC./OTHER NOTES RECEIVABLES (-)</t>
  </si>
  <si>
    <t>PROV./OTHER DOUBTFUL RECEIVABLES (-)</t>
  </si>
  <si>
    <t>PROV./ OTHER DOUBTFUL RECEIVABLES (-)</t>
  </si>
  <si>
    <t>PROV./ DECREASE IN VALUE OF SECURITIES (-)</t>
  </si>
  <si>
    <t>SHARE CAPITAL COMMITMENTS TO AFFILIATES (-)</t>
  </si>
  <si>
    <t>DECR.IN VALUE OF AFFILIATE SHARES (-)</t>
  </si>
  <si>
    <t>COMMITMENTS TO SUBSIDIARIES (-)</t>
  </si>
  <si>
    <t>PROV./OTHER FINANCIAL FIXED ASSETS (-)</t>
  </si>
  <si>
    <t>PROV./ DECR.IN VALUE OF SUBSIDIARIES (-)</t>
  </si>
  <si>
    <t>ADVANCES GIVEN TO SUBCONTRACTORS</t>
  </si>
  <si>
    <t>CONSTRUCTION IN PROGRESS EXPENSES CAPITALIZED</t>
  </si>
  <si>
    <t>DEFERRED FINANCIAL LEASING COST OF DEBT (-)</t>
  </si>
  <si>
    <t>ADVANCES RECEIVED FOR ORDERS</t>
  </si>
  <si>
    <t>OTHER ADVANCES RECEIVED</t>
  </si>
  <si>
    <t>PROV. FOR COST OF GOODS</t>
  </si>
  <si>
    <t>DIFFERENCES ON CAPITAL ADJUSTMENTS</t>
  </si>
  <si>
    <t>SHORT TERM LIABILITIES</t>
  </si>
  <si>
    <t>FINANCIAL LIABILITIES</t>
  </si>
  <si>
    <t>CURRENT PORTION OF LONG TERM LOANS</t>
  </si>
  <si>
    <t>TRADE PAYABLES</t>
  </si>
  <si>
    <t>DEPOSITS AND GUARANTEES  RECEIVED</t>
  </si>
  <si>
    <t>TOTAL OF SHORT TERM LIABILITIES</t>
  </si>
  <si>
    <t>HEADQUARTER AND BRANCHES CURRENT ACCOUNTS</t>
  </si>
  <si>
    <t>STOCK COUNT EXCESS AND GAINS</t>
  </si>
  <si>
    <t>OTHER SHORT TERM LIABILITIES</t>
  </si>
  <si>
    <t>TAXES AND OTHER LIABILITIES</t>
  </si>
  <si>
    <t>TAXES AND FUNDS PAYABLE</t>
  </si>
  <si>
    <t>OTHER MISC. PAYABLES</t>
  </si>
  <si>
    <t>OTHER DUTIES PAYABLE</t>
  </si>
  <si>
    <t>OTHER LIABILITIES</t>
  </si>
  <si>
    <t>SOCIAL SECURITY PREMIUMS PAYABLE</t>
  </si>
  <si>
    <t>PROVISION FOR INCOME TAX AND OTHER FISCAL DUTIES</t>
  </si>
  <si>
    <t>DEFERRED INCOME</t>
  </si>
  <si>
    <t>EXPENSE ACCRUALS</t>
  </si>
  <si>
    <t>DUE TO SHAREHOLDERS</t>
  </si>
  <si>
    <t>DUE TO AFFILIATES</t>
  </si>
  <si>
    <t>DUE TO SUBSIDIARIES</t>
  </si>
  <si>
    <t>DUE TO EMPLOYEES</t>
  </si>
  <si>
    <t>REDISCOUNTS OF NOTES PAYABLE</t>
  </si>
  <si>
    <t>DEPOSITS AND GUARANTEES RECEIVED</t>
  </si>
  <si>
    <t>OTHER TRADE PAYABLES</t>
  </si>
  <si>
    <t>OTHER PAYABLES</t>
  </si>
  <si>
    <t>SECURITY PRINCIPLE AND INTEREST</t>
  </si>
  <si>
    <t>Ertelenmiş Finansal Kiralama Borçlanma Maliyetleri (-)</t>
  </si>
  <si>
    <t>LONG TERM LIABILITIES</t>
  </si>
  <si>
    <t>BANK CREDITS</t>
  </si>
  <si>
    <t>BONDS ISSUED</t>
  </si>
  <si>
    <t>VALUE DIFFERENCE ON SECURITIES  ISSUED (-)</t>
  </si>
  <si>
    <t>REDISCOUNT ON OTHER NOTES PAYABLE</t>
  </si>
  <si>
    <t>PAYABLES TO GOVERNMENT</t>
  </si>
  <si>
    <t>INCOME RELATING TO FUTURE PERIODS</t>
  </si>
  <si>
    <t>OTHER LONG TERM LIABILITIES</t>
  </si>
  <si>
    <t>DEFERED VAT FOR FOLLOWING YEARS</t>
  </si>
  <si>
    <t>INSTALL. PARTICIPATION SHARES</t>
  </si>
  <si>
    <t>TOTAL OF LONG TERM LIABILITIES</t>
  </si>
  <si>
    <t>STOCKHOLDERS' EQUITY</t>
  </si>
  <si>
    <t>PAID-IN CAPITAL</t>
  </si>
  <si>
    <t>CAPITAL RESERVES</t>
  </si>
  <si>
    <t>PROFIT ON RETIRED SHARES</t>
  </si>
  <si>
    <t>PREMIUM ON THE ISSUANCE OF SHARES</t>
  </si>
  <si>
    <t>INCREASES FROM THE REVALUATION OF FIXED TANGIBLE ASSETS</t>
  </si>
  <si>
    <t>INCREASES FROM THE REVALUATION OF INVESTMENTS</t>
  </si>
  <si>
    <t>OTHER CAPITAL RESERVES</t>
  </si>
  <si>
    <t>OTHER RESERVES</t>
  </si>
  <si>
    <t>LEGAL RESERVES</t>
  </si>
  <si>
    <t>EXTRAORDINARY RESERVES</t>
  </si>
  <si>
    <t>OTHER RESERVES OF PROFIT</t>
  </si>
  <si>
    <t>SPECIAL FUNDS</t>
  </si>
  <si>
    <t>TOTAL STOCKHOLDERS' EQUITY</t>
  </si>
  <si>
    <t>TOTAL LIABILITIES AND STOCKHOLDERS' EQUITY</t>
  </si>
  <si>
    <t>VALUE DEFERENCE ON SECURITIES ISSUED (-)</t>
  </si>
  <si>
    <t>REDISCOUNTS OF NOTES PAYABLE (-)</t>
  </si>
  <si>
    <t>REDISCOUNTS OF OTHER NOTES (-)</t>
  </si>
  <si>
    <t>PREPAID  INCOME  TAX / DUTIES (-)</t>
  </si>
  <si>
    <t>Sales Returns (-)</t>
  </si>
  <si>
    <t>Sales Deductions (-)</t>
  </si>
  <si>
    <t>Other Deductions (-)</t>
  </si>
  <si>
    <t>SALES DEDUCTIONS (-)</t>
  </si>
  <si>
    <t>COST OF SALES (-)</t>
  </si>
  <si>
    <t>Cost of Goods Sold (Product) (-)</t>
  </si>
  <si>
    <t>Cost of Goods Sold (Trade) (-)</t>
  </si>
  <si>
    <t>Cost of Servıces Rendered (-)</t>
  </si>
  <si>
    <t>Cost of sales (Other) (-)</t>
  </si>
  <si>
    <t>OPERATING EXPENSES (-)</t>
  </si>
  <si>
    <t>Research &amp; Development Expenses (-)</t>
  </si>
  <si>
    <t>Mark. Selling &amp; Distribution Expenses (-)</t>
  </si>
  <si>
    <t>General Administrative Expenses (-)</t>
  </si>
  <si>
    <t>INCOME/PROFIT FROM OTHER OPERATIONS</t>
  </si>
  <si>
    <t>EXPENSES AND LOSSES FROM OTHER OPERATIONS (-)</t>
  </si>
  <si>
    <t>Commission Expenses (-)</t>
  </si>
  <si>
    <t>Provisions  (-)</t>
  </si>
  <si>
    <t>Loss on Sale of Marketable Securities (-)</t>
  </si>
  <si>
    <t>Exchange Rates Losses (-)</t>
  </si>
  <si>
    <t>Redıscount Interest Expense (-)</t>
  </si>
  <si>
    <t>Other Ordınary Expenses Losses (-)</t>
  </si>
  <si>
    <t>FINANCIAL EXPENSES (-)</t>
  </si>
  <si>
    <t>Financial Expenses (Short Term) (-)</t>
  </si>
  <si>
    <t>Financial Expenses (Long Term) (-)</t>
  </si>
  <si>
    <t>NON-OPERATING REVENUES/PROFIT</t>
  </si>
  <si>
    <t>EXTRAORDINARY EXPENSES LOSSES (-)</t>
  </si>
  <si>
    <t>Idle Capacıty Expenses Losses (-)</t>
  </si>
  <si>
    <t>Prıor Perıod Expenses Losses (-)</t>
  </si>
  <si>
    <t>Other Extraordinary Expenses Losses (-)</t>
  </si>
  <si>
    <t>Prov/Taxes Statutory Obligations (-)</t>
  </si>
  <si>
    <t>SPECIAL ALLOWANCE FOR LOSS IN THE VALUE OF SECURITIES (-)</t>
  </si>
  <si>
    <t>,</t>
  </si>
  <si>
    <t>TARFİN TARIM A.Ş.</t>
  </si>
  <si>
    <t>01/01/2019 - 31/12/2019 INCOME STATEMENT</t>
  </si>
  <si>
    <t>01/01/2019 - 31/12/2019 BALANCE SHEET (LIABILITIES)</t>
  </si>
  <si>
    <t>01/01/2019 - 31/12/2019 BALANCE SHEET (ASSETS)</t>
  </si>
  <si>
    <t>DEBTS ARISING FROM FACTORING</t>
  </si>
  <si>
    <t>Faktoring İşlemlerinden Borçlar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</si>
</sst>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_-* #,##0.00\ _T_L_-;\-* #,##0.00\ _T_L_-;_-* &quot;-&quot;??\ _T_L_-;_-@_-"/>
  </numFmts>
  <fonts count="23">
    <font>
      <sz val="10"/>
      <name val="Arial Tur"/>
      <charset val="162"/>
    </font>
    <font>
      <sz val="10"/>
      <name val="MS Sans Serif"/>
      <family val="2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color indexed="10"/>
      <name val="Arial"/>
      <family val="2"/>
      <charset val="162"/>
    </font>
    <font>
      <sz val="8"/>
      <name val="Arial"/>
      <family val="2"/>
      <charset val="162"/>
    </font>
    <font>
      <b/>
      <sz val="8"/>
      <color indexed="10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</font>
    <font>
      <sz val="8"/>
      <color indexed="10"/>
      <name val="Arial"/>
      <family val="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b/>
      <sz val="8"/>
      <color indexed="10"/>
      <name val="Tahoma"/>
      <family val="2"/>
      <charset val="162"/>
    </font>
    <font>
      <sz val="8"/>
      <color indexed="10"/>
      <name val="Tahoma"/>
      <family val="2"/>
      <charset val="162"/>
    </font>
    <font>
      <b/>
      <sz val="8"/>
      <name val="Arial Tur"/>
      <charset val="162"/>
    </font>
    <font>
      <b/>
      <sz val="11"/>
      <name val="Arial Tur"/>
      <charset val="162"/>
    </font>
    <font>
      <sz val="8"/>
      <color indexed="8"/>
      <name val="Arial"/>
      <family val="2"/>
      <charset val="162"/>
    </font>
    <font>
      <sz val="8"/>
      <color indexed="10"/>
      <name val="Arial"/>
      <family val="2"/>
      <charset val="162"/>
    </font>
    <font>
      <sz val="10"/>
      <name val="Arial Tur"/>
      <charset val="162"/>
    </font>
    <font>
      <sz val="8"/>
      <color theme="9" tint="-0.499984740745262"/>
      <name val="Arial Tur"/>
      <charset val="162"/>
    </font>
    <font>
      <sz val="8"/>
      <color theme="9" tint="-0.499984740745262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166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/>
  </cellStyleXfs>
  <cellXfs count="139">
    <xf numFmtId="0" fontId="0" fillId="0" borderId="0" xfId="0"/>
    <xf numFmtId="0" fontId="2" fillId="0" borderId="0" xfId="0" applyFont="1"/>
    <xf numFmtId="0" fontId="4" fillId="2" borderId="1" xfId="4" applyFont="1" applyFill="1" applyBorder="1" applyAlignment="1">
      <alignment horizontal="center"/>
    </xf>
    <xf numFmtId="0" fontId="4" fillId="0" borderId="1" xfId="4" applyFont="1" applyFill="1" applyBorder="1" applyAlignment="1">
      <alignment horizontal="center"/>
    </xf>
    <xf numFmtId="0" fontId="4" fillId="0" borderId="1" xfId="4" applyFont="1" applyFill="1" applyBorder="1" applyAlignment="1"/>
    <xf numFmtId="0" fontId="3" fillId="0" borderId="2" xfId="4" applyFont="1" applyFill="1" applyBorder="1" applyAlignment="1">
      <alignment horizontal="center"/>
    </xf>
    <xf numFmtId="0" fontId="3" fillId="0" borderId="2" xfId="4" applyFont="1" applyFill="1" applyBorder="1" applyAlignment="1">
      <alignment horizontal="left"/>
    </xf>
    <xf numFmtId="0" fontId="3" fillId="0" borderId="0" xfId="0" applyFont="1"/>
    <xf numFmtId="0" fontId="5" fillId="0" borderId="0" xfId="0" applyFont="1"/>
    <xf numFmtId="0" fontId="4" fillId="0" borderId="1" xfId="4" applyFont="1" applyFill="1" applyBorder="1" applyAlignment="1">
      <alignment horizontal="left"/>
    </xf>
    <xf numFmtId="0" fontId="5" fillId="0" borderId="3" xfId="4" applyFont="1" applyFill="1" applyBorder="1" applyAlignment="1">
      <alignment horizontal="left"/>
    </xf>
    <xf numFmtId="0" fontId="4" fillId="0" borderId="3" xfId="0" applyFont="1" applyBorder="1"/>
    <xf numFmtId="0" fontId="5" fillId="0" borderId="3" xfId="0" applyFont="1" applyBorder="1"/>
    <xf numFmtId="0" fontId="4" fillId="0" borderId="1" xfId="0" applyFont="1" applyBorder="1"/>
    <xf numFmtId="0" fontId="3" fillId="0" borderId="3" xfId="4" applyFont="1" applyFill="1" applyBorder="1" applyAlignment="1">
      <alignment horizontal="left"/>
    </xf>
    <xf numFmtId="0" fontId="5" fillId="0" borderId="2" xfId="4" applyFont="1" applyFill="1" applyBorder="1" applyAlignment="1">
      <alignment horizontal="left"/>
    </xf>
    <xf numFmtId="0" fontId="4" fillId="2" borderId="1" xfId="4" applyFont="1" applyFill="1" applyBorder="1" applyAlignment="1"/>
    <xf numFmtId="0" fontId="3" fillId="0" borderId="4" xfId="4" applyFont="1" applyFill="1" applyBorder="1" applyAlignment="1">
      <alignment horizontal="center"/>
    </xf>
    <xf numFmtId="0" fontId="5" fillId="0" borderId="5" xfId="0" applyFont="1" applyBorder="1"/>
    <xf numFmtId="0" fontId="3" fillId="0" borderId="3" xfId="0" applyFont="1" applyBorder="1"/>
    <xf numFmtId="0" fontId="4" fillId="2" borderId="6" xfId="4" applyFont="1" applyFill="1" applyBorder="1" applyAlignment="1">
      <alignment horizontal="center"/>
    </xf>
    <xf numFmtId="0" fontId="4" fillId="2" borderId="6" xfId="4" applyFont="1" applyFill="1" applyBorder="1" applyAlignment="1">
      <alignment horizontal="left"/>
    </xf>
    <xf numFmtId="0" fontId="4" fillId="3" borderId="7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left" vertical="center"/>
    </xf>
    <xf numFmtId="0" fontId="2" fillId="0" borderId="0" xfId="0" applyFont="1" applyBorder="1"/>
    <xf numFmtId="0" fontId="6" fillId="0" borderId="0" xfId="4" applyFont="1" applyFill="1" applyBorder="1" applyAlignment="1">
      <alignment horizontal="center"/>
    </xf>
    <xf numFmtId="0" fontId="6" fillId="0" borderId="0" xfId="4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14" fontId="4" fillId="2" borderId="1" xfId="4" applyNumberFormat="1" applyFont="1" applyFill="1" applyBorder="1" applyAlignment="1"/>
    <xf numFmtId="0" fontId="4" fillId="0" borderId="2" xfId="4" applyFont="1" applyFill="1" applyBorder="1" applyAlignment="1">
      <alignment horizontal="center"/>
    </xf>
    <xf numFmtId="0" fontId="3" fillId="0" borderId="2" xfId="4" applyFont="1" applyFill="1" applyBorder="1" applyAlignment="1"/>
    <xf numFmtId="0" fontId="3" fillId="0" borderId="8" xfId="4" applyFont="1" applyFill="1" applyBorder="1" applyAlignment="1"/>
    <xf numFmtId="0" fontId="5" fillId="0" borderId="2" xfId="4" applyFont="1" applyFill="1" applyBorder="1" applyAlignment="1"/>
    <xf numFmtId="0" fontId="3" fillId="0" borderId="2" xfId="0" applyFont="1" applyBorder="1"/>
    <xf numFmtId="0" fontId="3" fillId="0" borderId="1" xfId="0" applyFont="1" applyBorder="1"/>
    <xf numFmtId="0" fontId="7" fillId="0" borderId="1" xfId="0" applyFont="1" applyBorder="1"/>
    <xf numFmtId="0" fontId="4" fillId="3" borderId="1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left" vertical="center"/>
    </xf>
    <xf numFmtId="14" fontId="4" fillId="0" borderId="1" xfId="4" applyNumberFormat="1" applyFont="1" applyFill="1" applyBorder="1" applyAlignment="1">
      <alignment horizontal="center"/>
    </xf>
    <xf numFmtId="14" fontId="4" fillId="0" borderId="1" xfId="4" applyNumberFormat="1" applyFont="1" applyFill="1" applyBorder="1" applyAlignment="1">
      <alignment horizontal="left"/>
    </xf>
    <xf numFmtId="0" fontId="2" fillId="0" borderId="0" xfId="0" applyFont="1" applyFill="1"/>
    <xf numFmtId="14" fontId="4" fillId="0" borderId="1" xfId="4" applyNumberFormat="1" applyFont="1" applyFill="1" applyBorder="1" applyAlignment="1"/>
    <xf numFmtId="3" fontId="8" fillId="0" borderId="0" xfId="5" applyNumberFormat="1" applyFont="1" applyBorder="1" applyAlignment="1">
      <alignment horizontal="center"/>
    </xf>
    <xf numFmtId="3" fontId="9" fillId="0" borderId="0" xfId="5" applyNumberFormat="1" applyFont="1" applyBorder="1" applyAlignment="1">
      <alignment horizontal="center"/>
    </xf>
    <xf numFmtId="3" fontId="10" fillId="0" borderId="0" xfId="5" applyNumberFormat="1" applyFont="1" applyBorder="1"/>
    <xf numFmtId="3" fontId="9" fillId="0" borderId="0" xfId="5" applyNumberFormat="1" applyFont="1" applyBorder="1"/>
    <xf numFmtId="0" fontId="4" fillId="0" borderId="0" xfId="4" applyFont="1" applyFill="1" applyBorder="1" applyAlignment="1">
      <alignment horizontal="center"/>
    </xf>
    <xf numFmtId="14" fontId="4" fillId="0" borderId="0" xfId="4" applyNumberFormat="1" applyFont="1" applyFill="1" applyBorder="1" applyAlignment="1"/>
    <xf numFmtId="0" fontId="2" fillId="0" borderId="0" xfId="0" applyFont="1" applyFill="1" applyBorder="1"/>
    <xf numFmtId="0" fontId="4" fillId="0" borderId="0" xfId="4" applyFont="1" applyFill="1" applyBorder="1" applyAlignment="1"/>
    <xf numFmtId="0" fontId="4" fillId="0" borderId="3" xfId="4" applyFont="1" applyFill="1" applyBorder="1" applyAlignment="1">
      <alignment horizontal="center"/>
    </xf>
    <xf numFmtId="0" fontId="4" fillId="0" borderId="3" xfId="4" applyFont="1" applyFill="1" applyBorder="1" applyAlignment="1">
      <alignment horizontal="left"/>
    </xf>
    <xf numFmtId="0" fontId="4" fillId="2" borderId="9" xfId="4" applyFont="1" applyFill="1" applyBorder="1" applyAlignment="1">
      <alignment horizontal="center"/>
    </xf>
    <xf numFmtId="0" fontId="4" fillId="2" borderId="8" xfId="4" applyFont="1" applyFill="1" applyBorder="1" applyAlignment="1">
      <alignment horizontal="left"/>
    </xf>
    <xf numFmtId="0" fontId="4" fillId="2" borderId="8" xfId="4" applyFont="1" applyFill="1" applyBorder="1" applyAlignment="1"/>
    <xf numFmtId="0" fontId="4" fillId="0" borderId="3" xfId="4" applyFont="1" applyFill="1" applyBorder="1" applyAlignment="1"/>
    <xf numFmtId="14" fontId="4" fillId="2" borderId="8" xfId="4" applyNumberFormat="1" applyFont="1" applyFill="1" applyBorder="1" applyAlignment="1"/>
    <xf numFmtId="14" fontId="4" fillId="0" borderId="3" xfId="4" applyNumberFormat="1" applyFont="1" applyFill="1" applyBorder="1" applyAlignment="1">
      <alignment horizontal="left"/>
    </xf>
    <xf numFmtId="14" fontId="3" fillId="0" borderId="7" xfId="4" applyNumberFormat="1" applyFont="1" applyFill="1" applyBorder="1" applyAlignment="1">
      <alignment horizontal="center"/>
    </xf>
    <xf numFmtId="14" fontId="4" fillId="0" borderId="7" xfId="4" applyNumberFormat="1" applyFont="1" applyFill="1" applyBorder="1" applyAlignment="1">
      <alignment horizontal="left"/>
    </xf>
    <xf numFmtId="4" fontId="9" fillId="0" borderId="0" xfId="5" applyNumberFormat="1" applyFont="1" applyBorder="1"/>
    <xf numFmtId="4" fontId="2" fillId="0" borderId="0" xfId="0" applyNumberFormat="1" applyFont="1"/>
    <xf numFmtId="4" fontId="4" fillId="0" borderId="1" xfId="2" applyNumberFormat="1" applyFont="1" applyFill="1" applyBorder="1" applyAlignment="1">
      <alignment horizontal="right"/>
    </xf>
    <xf numFmtId="4" fontId="3" fillId="0" borderId="2" xfId="2" applyNumberFormat="1" applyFont="1" applyFill="1" applyBorder="1" applyAlignment="1">
      <alignment horizontal="right"/>
    </xf>
    <xf numFmtId="4" fontId="11" fillId="0" borderId="2" xfId="2" applyNumberFormat="1" applyFont="1" applyFill="1" applyBorder="1" applyAlignment="1">
      <alignment horizontal="right"/>
    </xf>
    <xf numFmtId="4" fontId="5" fillId="0" borderId="2" xfId="2" applyNumberFormat="1" applyFont="1" applyFill="1" applyBorder="1" applyAlignment="1">
      <alignment horizontal="right"/>
    </xf>
    <xf numFmtId="4" fontId="4" fillId="2" borderId="10" xfId="2" applyNumberFormat="1" applyFont="1" applyFill="1" applyBorder="1" applyAlignment="1">
      <alignment horizontal="right"/>
    </xf>
    <xf numFmtId="4" fontId="4" fillId="0" borderId="0" xfId="2" applyNumberFormat="1" applyFont="1" applyFill="1" applyBorder="1" applyAlignment="1">
      <alignment horizontal="right"/>
    </xf>
    <xf numFmtId="4" fontId="4" fillId="0" borderId="3" xfId="2" applyNumberFormat="1" applyFont="1" applyFill="1" applyBorder="1" applyAlignment="1">
      <alignment horizontal="right"/>
    </xf>
    <xf numFmtId="4" fontId="4" fillId="2" borderId="1" xfId="2" applyNumberFormat="1" applyFont="1" applyFill="1" applyBorder="1" applyAlignment="1">
      <alignment horizontal="right"/>
    </xf>
    <xf numFmtId="4" fontId="4" fillId="3" borderId="1" xfId="2" applyNumberFormat="1" applyFont="1" applyFill="1" applyBorder="1" applyAlignment="1">
      <alignment horizontal="right" vertical="center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Fill="1"/>
    <xf numFmtId="3" fontId="2" fillId="0" borderId="0" xfId="0" applyNumberFormat="1" applyFont="1"/>
    <xf numFmtId="3" fontId="2" fillId="0" borderId="0" xfId="0" applyNumberFormat="1" applyFont="1" applyFill="1"/>
    <xf numFmtId="0" fontId="7" fillId="0" borderId="1" xfId="4" applyFont="1" applyFill="1" applyBorder="1" applyAlignment="1">
      <alignment horizontal="center"/>
    </xf>
    <xf numFmtId="0" fontId="7" fillId="0" borderId="1" xfId="4" applyFont="1" applyFill="1" applyBorder="1" applyAlignment="1">
      <alignment horizontal="left"/>
    </xf>
    <xf numFmtId="0" fontId="7" fillId="0" borderId="2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left"/>
    </xf>
    <xf numFmtId="0" fontId="5" fillId="0" borderId="4" xfId="4" applyFont="1" applyFill="1" applyBorder="1" applyAlignment="1">
      <alignment horizontal="left"/>
    </xf>
    <xf numFmtId="4" fontId="4" fillId="0" borderId="7" xfId="2" applyNumberFormat="1" applyFont="1" applyFill="1" applyBorder="1" applyAlignment="1">
      <alignment horizontal="center"/>
    </xf>
    <xf numFmtId="4" fontId="4" fillId="0" borderId="1" xfId="2" applyNumberFormat="1" applyFont="1" applyFill="1" applyBorder="1" applyAlignment="1" applyProtection="1">
      <protection locked="0"/>
    </xf>
    <xf numFmtId="4" fontId="3" fillId="0" borderId="2" xfId="2" applyNumberFormat="1" applyFont="1" applyFill="1" applyBorder="1" applyAlignment="1"/>
    <xf numFmtId="4" fontId="5" fillId="0" borderId="2" xfId="2" applyNumberFormat="1" applyFont="1" applyFill="1" applyBorder="1" applyAlignment="1"/>
    <xf numFmtId="4" fontId="4" fillId="2" borderId="10" xfId="2" applyNumberFormat="1" applyFont="1" applyFill="1" applyBorder="1" applyAlignment="1" applyProtection="1">
      <protection locked="0"/>
    </xf>
    <xf numFmtId="4" fontId="4" fillId="0" borderId="0" xfId="2" applyNumberFormat="1" applyFont="1" applyFill="1" applyBorder="1" applyAlignment="1" applyProtection="1">
      <protection locked="0"/>
    </xf>
    <xf numFmtId="4" fontId="4" fillId="2" borderId="10" xfId="2" applyNumberFormat="1" applyFont="1" applyFill="1" applyBorder="1" applyAlignment="1"/>
    <xf numFmtId="4" fontId="4" fillId="0" borderId="3" xfId="2" applyNumberFormat="1" applyFont="1" applyFill="1" applyBorder="1" applyAlignment="1" applyProtection="1">
      <protection locked="0"/>
    </xf>
    <xf numFmtId="4" fontId="5" fillId="0" borderId="4" xfId="2" applyNumberFormat="1" applyFont="1" applyFill="1" applyBorder="1" applyAlignment="1"/>
    <xf numFmtId="4" fontId="4" fillId="2" borderId="6" xfId="2" applyNumberFormat="1" applyFont="1" applyFill="1" applyBorder="1" applyAlignment="1" applyProtection="1">
      <protection locked="0"/>
    </xf>
    <xf numFmtId="4" fontId="4" fillId="3" borderId="7" xfId="2" applyNumberFormat="1" applyFont="1" applyFill="1" applyBorder="1" applyAlignment="1" applyProtection="1">
      <protection locked="0"/>
    </xf>
    <xf numFmtId="4" fontId="6" fillId="0" borderId="0" xfId="2" applyNumberFormat="1" applyFont="1" applyFill="1" applyBorder="1" applyAlignment="1"/>
    <xf numFmtId="3" fontId="12" fillId="0" borderId="0" xfId="5" applyNumberFormat="1" applyFont="1" applyBorder="1" applyAlignment="1">
      <alignment horizontal="center"/>
    </xf>
    <xf numFmtId="3" fontId="13" fillId="0" borderId="0" xfId="5" applyNumberFormat="1" applyFont="1" applyBorder="1" applyAlignment="1">
      <alignment horizontal="center"/>
    </xf>
    <xf numFmtId="3" fontId="13" fillId="0" borderId="0" xfId="5" applyNumberFormat="1" applyFont="1" applyBorder="1"/>
    <xf numFmtId="0" fontId="13" fillId="0" borderId="0" xfId="0" applyFont="1"/>
    <xf numFmtId="49" fontId="12" fillId="0" borderId="0" xfId="5" applyNumberFormat="1" applyFont="1" applyBorder="1" applyAlignment="1">
      <alignment horizontal="right"/>
    </xf>
    <xf numFmtId="3" fontId="12" fillId="0" borderId="7" xfId="5" applyNumberFormat="1" applyFont="1" applyBorder="1" applyAlignment="1">
      <alignment horizontal="center"/>
    </xf>
    <xf numFmtId="3" fontId="12" fillId="0" borderId="7" xfId="5" applyNumberFormat="1" applyFont="1" applyBorder="1"/>
    <xf numFmtId="4" fontId="12" fillId="0" borderId="7" xfId="3" applyNumberFormat="1" applyFont="1" applyFill="1" applyBorder="1"/>
    <xf numFmtId="3" fontId="12" fillId="0" borderId="2" xfId="5" applyNumberFormat="1" applyFont="1" applyBorder="1" applyAlignment="1">
      <alignment horizontal="center"/>
    </xf>
    <xf numFmtId="3" fontId="13" fillId="0" borderId="2" xfId="5" applyNumberFormat="1" applyFont="1" applyBorder="1" applyAlignment="1">
      <alignment horizontal="center"/>
    </xf>
    <xf numFmtId="3" fontId="13" fillId="0" borderId="2" xfId="5" applyNumberFormat="1" applyFont="1" applyBorder="1"/>
    <xf numFmtId="4" fontId="13" fillId="0" borderId="2" xfId="3" applyNumberFormat="1" applyFont="1" applyFill="1" applyBorder="1"/>
    <xf numFmtId="3" fontId="14" fillId="0" borderId="7" xfId="5" applyNumberFormat="1" applyFont="1" applyBorder="1" applyAlignment="1">
      <alignment horizontal="center"/>
    </xf>
    <xf numFmtId="3" fontId="14" fillId="0" borderId="7" xfId="5" applyNumberFormat="1" applyFont="1" applyBorder="1"/>
    <xf numFmtId="4" fontId="14" fillId="0" borderId="7" xfId="3" applyNumberFormat="1" applyFont="1" applyFill="1" applyBorder="1"/>
    <xf numFmtId="3" fontId="14" fillId="0" borderId="2" xfId="5" applyNumberFormat="1" applyFont="1" applyBorder="1" applyAlignment="1">
      <alignment horizontal="center"/>
    </xf>
    <xf numFmtId="3" fontId="15" fillId="0" borderId="2" xfId="5" applyNumberFormat="1" applyFont="1" applyBorder="1" applyAlignment="1">
      <alignment horizontal="center"/>
    </xf>
    <xf numFmtId="3" fontId="15" fillId="0" borderId="2" xfId="5" applyNumberFormat="1" applyFont="1" applyBorder="1"/>
    <xf numFmtId="4" fontId="15" fillId="0" borderId="2" xfId="3" applyNumberFormat="1" applyFont="1" applyFill="1" applyBorder="1"/>
    <xf numFmtId="3" fontId="12" fillId="0" borderId="1" xfId="5" applyNumberFormat="1" applyFont="1" applyBorder="1" applyAlignment="1">
      <alignment horizontal="center"/>
    </xf>
    <xf numFmtId="3" fontId="12" fillId="0" borderId="1" xfId="5" applyNumberFormat="1" applyFont="1" applyBorder="1"/>
    <xf numFmtId="4" fontId="12" fillId="0" borderId="1" xfId="3" applyNumberFormat="1" applyFont="1" applyFill="1" applyBorder="1"/>
    <xf numFmtId="0" fontId="15" fillId="0" borderId="7" xfId="0" applyFont="1" applyBorder="1"/>
    <xf numFmtId="4" fontId="12" fillId="0" borderId="0" xfId="5" applyNumberFormat="1" applyFont="1" applyFill="1" applyBorder="1" applyAlignment="1">
      <alignment horizontal="center"/>
    </xf>
    <xf numFmtId="4" fontId="13" fillId="0" borderId="0" xfId="0" applyNumberFormat="1" applyFont="1"/>
    <xf numFmtId="0" fontId="16" fillId="0" borderId="0" xfId="0" applyFont="1"/>
    <xf numFmtId="0" fontId="3" fillId="0" borderId="1" xfId="4" applyFont="1" applyFill="1" applyBorder="1" applyAlignment="1">
      <alignment horizontal="left"/>
    </xf>
    <xf numFmtId="0" fontId="3" fillId="0" borderId="11" xfId="0" applyFont="1" applyBorder="1"/>
    <xf numFmtId="0" fontId="3" fillId="0" borderId="0" xfId="0" applyFont="1" applyFill="1"/>
    <xf numFmtId="0" fontId="3" fillId="0" borderId="3" xfId="0" applyFont="1" applyFill="1" applyBorder="1"/>
    <xf numFmtId="0" fontId="5" fillId="0" borderId="12" xfId="4" applyFont="1" applyFill="1" applyBorder="1" applyAlignment="1"/>
    <xf numFmtId="4" fontId="3" fillId="0" borderId="13" xfId="2" applyNumberFormat="1" applyFont="1" applyFill="1" applyBorder="1" applyAlignment="1">
      <alignment horizontal="right"/>
    </xf>
    <xf numFmtId="0" fontId="5" fillId="0" borderId="2" xfId="0" applyFont="1" applyBorder="1"/>
    <xf numFmtId="0" fontId="18" fillId="0" borderId="14" xfId="0" applyNumberFormat="1" applyFont="1" applyFill="1" applyBorder="1" applyAlignment="1"/>
    <xf numFmtId="0" fontId="19" fillId="0" borderId="2" xfId="4" applyFont="1" applyFill="1" applyBorder="1" applyAlignment="1">
      <alignment horizontal="left"/>
    </xf>
    <xf numFmtId="0" fontId="19" fillId="0" borderId="14" xfId="0" applyNumberFormat="1" applyFont="1" applyFill="1" applyBorder="1" applyAlignment="1"/>
    <xf numFmtId="0" fontId="19" fillId="0" borderId="0" xfId="0" applyFont="1" applyFill="1"/>
    <xf numFmtId="4" fontId="12" fillId="0" borderId="0" xfId="0" applyNumberFormat="1" applyFont="1"/>
    <xf numFmtId="0" fontId="12" fillId="0" borderId="0" xfId="0" applyFont="1"/>
    <xf numFmtId="4" fontId="13" fillId="0" borderId="6" xfId="0" applyNumberFormat="1" applyFont="1" applyBorder="1"/>
    <xf numFmtId="166" fontId="21" fillId="0" borderId="0" xfId="1" applyFont="1"/>
    <xf numFmtId="165" fontId="21" fillId="0" borderId="0" xfId="1" applyNumberFormat="1" applyFont="1"/>
    <xf numFmtId="0" fontId="21" fillId="0" borderId="0" xfId="0" applyFont="1"/>
    <xf numFmtId="0" fontId="22" fillId="0" borderId="0" xfId="0" applyFont="1"/>
    <xf numFmtId="4" fontId="3" fillId="0" borderId="1" xfId="2" applyNumberFormat="1" applyFont="1" applyFill="1" applyBorder="1" applyAlignment="1">
      <alignment horizontal="right"/>
    </xf>
    <xf numFmtId="0" fontId="17" fillId="0" borderId="0" xfId="0" applyFont="1" applyAlignment="1">
      <alignment horizontal="center"/>
    </xf>
    <xf numFmtId="14" fontId="12" fillId="0" borderId="0" xfId="5" applyNumberFormat="1" applyFont="1" applyBorder="1" applyAlignment="1">
      <alignment horizontal="center"/>
    </xf>
  </cellXfs>
  <cellStyles count="7">
    <cellStyle name="Comma" xfId="1" builtinId="3"/>
    <cellStyle name="Currency_1__" xfId="2" xr:uid="{00000000-0005-0000-0000-000000000000}"/>
    <cellStyle name="Currency_2____" xfId="3" xr:uid="{00000000-0005-0000-0000-000001000000}"/>
    <cellStyle name="Normal" xfId="0" builtinId="0"/>
    <cellStyle name="Normal 2" xfId="6" xr:uid="{00000000-0005-0000-0000-000003000000}"/>
    <cellStyle name="Normal_1__" xfId="4" xr:uid="{00000000-0005-0000-0000-000004000000}"/>
    <cellStyle name="Normal_2____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39"/>
  <sheetViews>
    <sheetView zoomScaleNormal="100" workbookViewId="0"/>
  </sheetViews>
  <sheetFormatPr defaultColWidth="9.1796875" defaultRowHeight="10"/>
  <cols>
    <col min="1" max="1" width="2.54296875" style="1" customWidth="1"/>
    <col min="2" max="2" width="3.453125" style="1" customWidth="1"/>
    <col min="3" max="3" width="4.26953125" style="1" customWidth="1"/>
    <col min="4" max="4" width="35.81640625" style="1" customWidth="1"/>
    <col min="5" max="5" width="48.54296875" style="1" bestFit="1" customWidth="1"/>
    <col min="6" max="6" width="10.81640625" style="61" bestFit="1" customWidth="1"/>
    <col min="7" max="7" width="11.7265625" style="1" customWidth="1"/>
    <col min="8" max="8" width="9.1796875" style="1"/>
    <col min="9" max="9" width="19.81640625" style="73" customWidth="1"/>
    <col min="10" max="10" width="9.1796875" style="61"/>
    <col min="11" max="11" width="12.54296875" style="73" bestFit="1" customWidth="1"/>
    <col min="12" max="16384" width="9.1796875" style="1"/>
  </cols>
  <sheetData>
    <row r="3" spans="2:11" ht="14">
      <c r="B3" s="137" t="s">
        <v>483</v>
      </c>
      <c r="C3" s="137"/>
      <c r="D3" s="137"/>
      <c r="E3" s="137"/>
      <c r="F3" s="137"/>
    </row>
    <row r="4" spans="2:11" ht="14">
      <c r="B4" s="137" t="s">
        <v>486</v>
      </c>
      <c r="C4" s="137"/>
      <c r="D4" s="137"/>
      <c r="E4" s="137"/>
      <c r="F4" s="137"/>
    </row>
    <row r="5" spans="2:11" s="45" customFormat="1" ht="12" customHeight="1">
      <c r="B5" s="42"/>
      <c r="C5" s="43"/>
      <c r="D5" s="44"/>
      <c r="F5" s="60"/>
      <c r="J5" s="60"/>
    </row>
    <row r="6" spans="2:11" s="40" customFormat="1" ht="10.5">
      <c r="B6" s="58"/>
      <c r="C6" s="59" t="s">
        <v>0</v>
      </c>
      <c r="D6" s="59"/>
      <c r="E6" s="59" t="s">
        <v>1</v>
      </c>
      <c r="F6" s="80"/>
      <c r="G6" s="40" t="s">
        <v>2</v>
      </c>
      <c r="I6" s="74"/>
      <c r="J6" s="72"/>
      <c r="K6" s="74"/>
    </row>
    <row r="7" spans="2:11" s="40" customFormat="1" ht="11" thickBot="1">
      <c r="B7" s="50">
        <v>1</v>
      </c>
      <c r="C7" s="57" t="s">
        <v>3</v>
      </c>
      <c r="D7" s="57"/>
      <c r="E7" s="57" t="s">
        <v>4</v>
      </c>
      <c r="F7" s="68">
        <f>+F8+F14+F20+F28+F37+F45+F49+F53</f>
        <v>68425302.850000009</v>
      </c>
      <c r="G7" s="72"/>
      <c r="I7" s="74"/>
      <c r="J7" s="72"/>
      <c r="K7" s="74"/>
    </row>
    <row r="8" spans="2:11" ht="11.5" thickTop="1" thickBot="1">
      <c r="B8" s="3">
        <v>10</v>
      </c>
      <c r="C8" s="4" t="s">
        <v>5</v>
      </c>
      <c r="D8" s="4"/>
      <c r="E8" s="4" t="s">
        <v>6</v>
      </c>
      <c r="F8" s="81">
        <f>SUM(F9:F13)</f>
        <v>31574681.41</v>
      </c>
    </row>
    <row r="9" spans="2:11" ht="10.5" thickTop="1">
      <c r="B9" s="5"/>
      <c r="C9" s="6">
        <v>100</v>
      </c>
      <c r="D9" s="6" t="s">
        <v>7</v>
      </c>
      <c r="E9" s="7" t="s">
        <v>8</v>
      </c>
      <c r="F9" s="82"/>
    </row>
    <row r="10" spans="2:11">
      <c r="B10" s="5"/>
      <c r="C10" s="6">
        <v>101</v>
      </c>
      <c r="D10" s="6" t="s">
        <v>9</v>
      </c>
      <c r="E10" s="7" t="s">
        <v>10</v>
      </c>
      <c r="F10" s="82"/>
    </row>
    <row r="11" spans="2:11">
      <c r="B11" s="5"/>
      <c r="C11" s="6">
        <v>102</v>
      </c>
      <c r="D11" s="6" t="s">
        <v>11</v>
      </c>
      <c r="E11" s="7" t="s">
        <v>12</v>
      </c>
      <c r="F11" s="82">
        <v>6075299.7300000004</v>
      </c>
    </row>
    <row r="12" spans="2:11">
      <c r="B12" s="5"/>
      <c r="C12" s="15">
        <v>103</v>
      </c>
      <c r="D12" s="15" t="s">
        <v>13</v>
      </c>
      <c r="E12" s="8" t="s">
        <v>14</v>
      </c>
      <c r="F12" s="83"/>
    </row>
    <row r="13" spans="2:11" ht="10.5" thickBot="1">
      <c r="B13" s="5"/>
      <c r="C13" s="6">
        <v>108</v>
      </c>
      <c r="D13" s="6" t="s">
        <v>15</v>
      </c>
      <c r="E13" s="7" t="s">
        <v>16</v>
      </c>
      <c r="F13" s="82">
        <v>25499381.68</v>
      </c>
    </row>
    <row r="14" spans="2:11" ht="11.5" thickTop="1" thickBot="1">
      <c r="B14" s="3">
        <v>11</v>
      </c>
      <c r="C14" s="9" t="s">
        <v>17</v>
      </c>
      <c r="D14" s="9"/>
      <c r="E14" s="9" t="s">
        <v>18</v>
      </c>
      <c r="F14" s="81">
        <f>SUM(F15:F19)</f>
        <v>0</v>
      </c>
    </row>
    <row r="15" spans="2:11" ht="10.5" thickTop="1">
      <c r="B15" s="5"/>
      <c r="C15" s="6">
        <v>110</v>
      </c>
      <c r="D15" s="6" t="s">
        <v>19</v>
      </c>
      <c r="E15" s="6" t="s">
        <v>20</v>
      </c>
      <c r="F15" s="82"/>
    </row>
    <row r="16" spans="2:11">
      <c r="B16" s="5"/>
      <c r="C16" s="6">
        <v>111</v>
      </c>
      <c r="D16" s="6" t="s">
        <v>21</v>
      </c>
      <c r="E16" s="6" t="s">
        <v>22</v>
      </c>
      <c r="F16" s="82"/>
    </row>
    <row r="17" spans="2:6">
      <c r="B17" s="5"/>
      <c r="C17" s="6">
        <v>112</v>
      </c>
      <c r="D17" s="6" t="s">
        <v>23</v>
      </c>
      <c r="E17" s="6" t="s">
        <v>24</v>
      </c>
      <c r="F17" s="82"/>
    </row>
    <row r="18" spans="2:6">
      <c r="B18" s="5"/>
      <c r="C18" s="6">
        <v>118</v>
      </c>
      <c r="D18" s="6" t="s">
        <v>25</v>
      </c>
      <c r="E18" s="6" t="s">
        <v>26</v>
      </c>
      <c r="F18" s="82"/>
    </row>
    <row r="19" spans="2:6" ht="10.5" thickBot="1">
      <c r="B19" s="5"/>
      <c r="C19" s="15">
        <v>119</v>
      </c>
      <c r="D19" s="15" t="s">
        <v>27</v>
      </c>
      <c r="E19" s="10" t="s">
        <v>481</v>
      </c>
      <c r="F19" s="83"/>
    </row>
    <row r="20" spans="2:6" ht="11.5" thickTop="1" thickBot="1">
      <c r="B20" s="3">
        <v>12</v>
      </c>
      <c r="C20" s="9" t="s">
        <v>28</v>
      </c>
      <c r="D20" s="9"/>
      <c r="E20" s="11" t="s">
        <v>29</v>
      </c>
      <c r="F20" s="81">
        <f>SUM(F21:F27)</f>
        <v>36576449.100000001</v>
      </c>
    </row>
    <row r="21" spans="2:6" ht="10.5" thickTop="1">
      <c r="B21" s="5"/>
      <c r="C21" s="6">
        <v>120</v>
      </c>
      <c r="D21" s="6" t="s">
        <v>30</v>
      </c>
      <c r="E21" s="7" t="s">
        <v>31</v>
      </c>
      <c r="F21" s="82">
        <v>36576449.100000001</v>
      </c>
    </row>
    <row r="22" spans="2:6">
      <c r="B22" s="5"/>
      <c r="C22" s="6">
        <v>121</v>
      </c>
      <c r="D22" s="6" t="s">
        <v>32</v>
      </c>
      <c r="E22" s="7" t="s">
        <v>33</v>
      </c>
      <c r="F22" s="82"/>
    </row>
    <row r="23" spans="2:6">
      <c r="B23" s="5"/>
      <c r="C23" s="15">
        <v>122</v>
      </c>
      <c r="D23" s="15" t="s">
        <v>34</v>
      </c>
      <c r="E23" s="8" t="s">
        <v>35</v>
      </c>
      <c r="F23" s="83"/>
    </row>
    <row r="24" spans="2:6">
      <c r="B24" s="5"/>
      <c r="C24" s="6">
        <v>126</v>
      </c>
      <c r="D24" s="6" t="s">
        <v>36</v>
      </c>
      <c r="E24" s="7" t="s">
        <v>37</v>
      </c>
      <c r="F24" s="82"/>
    </row>
    <row r="25" spans="2:6">
      <c r="B25" s="5"/>
      <c r="C25" s="6">
        <v>127</v>
      </c>
      <c r="D25" s="6" t="s">
        <v>38</v>
      </c>
      <c r="E25" s="7" t="s">
        <v>39</v>
      </c>
      <c r="F25" s="82"/>
    </row>
    <row r="26" spans="2:6">
      <c r="B26" s="5"/>
      <c r="C26" s="6">
        <v>128</v>
      </c>
      <c r="D26" s="6" t="s">
        <v>40</v>
      </c>
      <c r="E26" s="7" t="s">
        <v>41</v>
      </c>
      <c r="F26" s="82"/>
    </row>
    <row r="27" spans="2:6" ht="10.5" thickBot="1">
      <c r="B27" s="5"/>
      <c r="C27" s="15">
        <v>129</v>
      </c>
      <c r="D27" s="15" t="s">
        <v>42</v>
      </c>
      <c r="E27" s="12" t="s">
        <v>43</v>
      </c>
      <c r="F27" s="83"/>
    </row>
    <row r="28" spans="2:6" ht="11.5" thickTop="1" thickBot="1">
      <c r="B28" s="3">
        <v>13</v>
      </c>
      <c r="C28" s="9" t="s">
        <v>44</v>
      </c>
      <c r="D28" s="9"/>
      <c r="E28" s="11" t="s">
        <v>39</v>
      </c>
      <c r="F28" s="81">
        <f>SUM(F29:F36)</f>
        <v>2067.52</v>
      </c>
    </row>
    <row r="29" spans="2:6" ht="10.5" thickTop="1">
      <c r="B29" s="5"/>
      <c r="C29" s="6">
        <v>131</v>
      </c>
      <c r="D29" s="6" t="s">
        <v>45</v>
      </c>
      <c r="E29" s="7" t="s">
        <v>46</v>
      </c>
      <c r="F29" s="82"/>
    </row>
    <row r="30" spans="2:6">
      <c r="B30" s="5"/>
      <c r="C30" s="6">
        <v>132</v>
      </c>
      <c r="D30" s="6" t="s">
        <v>47</v>
      </c>
      <c r="E30" s="7" t="s">
        <v>48</v>
      </c>
      <c r="F30" s="82"/>
    </row>
    <row r="31" spans="2:6">
      <c r="B31" s="5"/>
      <c r="C31" s="6">
        <v>133</v>
      </c>
      <c r="D31" s="6" t="s">
        <v>49</v>
      </c>
      <c r="E31" s="7" t="s">
        <v>50</v>
      </c>
      <c r="F31" s="82"/>
    </row>
    <row r="32" spans="2:6">
      <c r="B32" s="5"/>
      <c r="C32" s="6">
        <v>135</v>
      </c>
      <c r="D32" s="6" t="s">
        <v>51</v>
      </c>
      <c r="E32" s="7" t="s">
        <v>52</v>
      </c>
      <c r="F32" s="82"/>
    </row>
    <row r="33" spans="2:8">
      <c r="B33" s="5"/>
      <c r="C33" s="6">
        <v>136</v>
      </c>
      <c r="D33" s="6" t="s">
        <v>53</v>
      </c>
      <c r="E33" s="7" t="s">
        <v>39</v>
      </c>
      <c r="F33" s="82">
        <v>2067.52</v>
      </c>
    </row>
    <row r="34" spans="2:8">
      <c r="B34" s="5"/>
      <c r="C34" s="15">
        <v>137</v>
      </c>
      <c r="D34" s="15" t="s">
        <v>54</v>
      </c>
      <c r="E34" s="8" t="s">
        <v>377</v>
      </c>
      <c r="F34" s="83"/>
    </row>
    <row r="35" spans="2:8">
      <c r="B35" s="5"/>
      <c r="C35" s="6">
        <v>138</v>
      </c>
      <c r="D35" s="6" t="s">
        <v>55</v>
      </c>
      <c r="E35" s="7" t="s">
        <v>56</v>
      </c>
      <c r="F35" s="82"/>
    </row>
    <row r="36" spans="2:8" ht="10.5" thickBot="1">
      <c r="B36" s="5"/>
      <c r="C36" s="15">
        <v>139</v>
      </c>
      <c r="D36" s="15" t="s">
        <v>57</v>
      </c>
      <c r="E36" s="12" t="s">
        <v>378</v>
      </c>
      <c r="F36" s="83"/>
    </row>
    <row r="37" spans="2:8" ht="11.5" thickTop="1" thickBot="1">
      <c r="B37" s="3">
        <v>15</v>
      </c>
      <c r="C37" s="9" t="s">
        <v>58</v>
      </c>
      <c r="D37" s="9"/>
      <c r="E37" s="13" t="s">
        <v>59</v>
      </c>
      <c r="F37" s="81">
        <f>SUM(F38:F44)</f>
        <v>34815.31</v>
      </c>
    </row>
    <row r="38" spans="2:8" ht="10.5" thickTop="1">
      <c r="B38" s="5"/>
      <c r="C38" s="6">
        <v>150</v>
      </c>
      <c r="D38" s="6" t="s">
        <v>60</v>
      </c>
      <c r="E38" s="7" t="s">
        <v>61</v>
      </c>
      <c r="F38" s="82"/>
    </row>
    <row r="39" spans="2:8">
      <c r="B39" s="5"/>
      <c r="C39" s="6">
        <v>151</v>
      </c>
      <c r="D39" s="6" t="s">
        <v>62</v>
      </c>
      <c r="E39" s="7" t="s">
        <v>63</v>
      </c>
      <c r="F39" s="82"/>
    </row>
    <row r="40" spans="2:8">
      <c r="B40" s="5"/>
      <c r="C40" s="6">
        <v>152</v>
      </c>
      <c r="D40" s="6" t="s">
        <v>64</v>
      </c>
      <c r="E40" s="7" t="s">
        <v>65</v>
      </c>
      <c r="F40" s="82"/>
    </row>
    <row r="41" spans="2:8">
      <c r="B41" s="5"/>
      <c r="C41" s="6">
        <v>153</v>
      </c>
      <c r="D41" s="6" t="s">
        <v>66</v>
      </c>
      <c r="E41" s="7" t="s">
        <v>67</v>
      </c>
      <c r="F41" s="82"/>
    </row>
    <row r="42" spans="2:8">
      <c r="B42" s="5"/>
      <c r="C42" s="6">
        <v>157</v>
      </c>
      <c r="D42" s="6" t="s">
        <v>68</v>
      </c>
      <c r="E42" s="7" t="s">
        <v>69</v>
      </c>
      <c r="F42" s="82"/>
    </row>
    <row r="43" spans="2:8">
      <c r="B43" s="5"/>
      <c r="C43" s="15">
        <v>158</v>
      </c>
      <c r="D43" s="15" t="s">
        <v>70</v>
      </c>
      <c r="E43" s="8" t="s">
        <v>376</v>
      </c>
      <c r="F43" s="83"/>
    </row>
    <row r="44" spans="2:8" ht="10.5" thickBot="1">
      <c r="B44" s="5"/>
      <c r="C44" s="6">
        <v>159</v>
      </c>
      <c r="D44" s="6" t="s">
        <v>71</v>
      </c>
      <c r="E44" s="7" t="s">
        <v>72</v>
      </c>
      <c r="F44" s="82">
        <v>34815.31</v>
      </c>
      <c r="G44" s="132"/>
      <c r="H44" s="133"/>
    </row>
    <row r="45" spans="2:8" ht="11.5" thickTop="1" thickBot="1">
      <c r="B45" s="3">
        <v>17</v>
      </c>
      <c r="C45" s="9" t="s">
        <v>73</v>
      </c>
      <c r="D45" s="9"/>
      <c r="E45" s="9"/>
      <c r="F45" s="81">
        <f>SUM(F46:F48)</f>
        <v>0</v>
      </c>
      <c r="G45" s="132"/>
      <c r="H45" s="134"/>
    </row>
    <row r="46" spans="2:8" ht="10.5" thickTop="1">
      <c r="B46" s="5"/>
      <c r="C46" s="6">
        <v>170</v>
      </c>
      <c r="D46" s="6" t="s">
        <v>73</v>
      </c>
      <c r="E46" s="6" t="s">
        <v>387</v>
      </c>
      <c r="F46" s="82"/>
    </row>
    <row r="47" spans="2:8" ht="11.25" customHeight="1">
      <c r="B47" s="5"/>
      <c r="C47" s="6">
        <v>179</v>
      </c>
      <c r="D47" s="6" t="s">
        <v>74</v>
      </c>
      <c r="E47" s="6" t="s">
        <v>386</v>
      </c>
      <c r="F47" s="82"/>
    </row>
    <row r="48" spans="2:8" ht="11.25" customHeight="1" thickBot="1">
      <c r="B48" s="5"/>
      <c r="C48" s="6"/>
      <c r="D48" s="6"/>
      <c r="E48" s="14"/>
      <c r="F48" s="82"/>
    </row>
    <row r="49" spans="2:11" ht="11.5" thickTop="1" thickBot="1">
      <c r="B49" s="3">
        <v>18</v>
      </c>
      <c r="C49" s="9" t="s">
        <v>75</v>
      </c>
      <c r="D49" s="9"/>
      <c r="E49" s="11" t="s">
        <v>76</v>
      </c>
      <c r="F49" s="81">
        <f>SUM(F50:F52)</f>
        <v>0</v>
      </c>
    </row>
    <row r="50" spans="2:11" ht="10.5" thickTop="1">
      <c r="B50" s="5"/>
      <c r="C50" s="6">
        <v>180</v>
      </c>
      <c r="D50" s="6" t="s">
        <v>77</v>
      </c>
      <c r="E50" s="7" t="s">
        <v>78</v>
      </c>
      <c r="F50" s="82"/>
      <c r="G50" s="134"/>
      <c r="H50" s="134"/>
    </row>
    <row r="51" spans="2:11">
      <c r="B51" s="5"/>
      <c r="C51" s="6">
        <v>181</v>
      </c>
      <c r="D51" s="6" t="s">
        <v>79</v>
      </c>
      <c r="E51" s="7" t="s">
        <v>80</v>
      </c>
      <c r="F51" s="82"/>
    </row>
    <row r="52" spans="2:11" ht="15.75" customHeight="1" thickBot="1">
      <c r="B52" s="5"/>
      <c r="C52" s="6"/>
      <c r="D52" s="6"/>
      <c r="E52" s="14"/>
      <c r="F52" s="82"/>
    </row>
    <row r="53" spans="2:11" ht="11.5" thickTop="1" thickBot="1">
      <c r="B53" s="3">
        <v>19</v>
      </c>
      <c r="C53" s="9" t="s">
        <v>81</v>
      </c>
      <c r="D53" s="9"/>
      <c r="E53" s="13" t="s">
        <v>82</v>
      </c>
      <c r="F53" s="81">
        <f>SUM(F54:F62)</f>
        <v>237289.51</v>
      </c>
    </row>
    <row r="54" spans="2:11" ht="10.5" thickTop="1">
      <c r="B54" s="5"/>
      <c r="C54" s="6">
        <v>190</v>
      </c>
      <c r="D54" s="6" t="s">
        <v>83</v>
      </c>
      <c r="E54" s="7" t="s">
        <v>84</v>
      </c>
      <c r="F54" s="82">
        <v>213146.09</v>
      </c>
    </row>
    <row r="55" spans="2:11">
      <c r="B55" s="5"/>
      <c r="C55" s="6">
        <v>191</v>
      </c>
      <c r="D55" s="6" t="s">
        <v>85</v>
      </c>
      <c r="E55" s="7" t="s">
        <v>86</v>
      </c>
      <c r="F55" s="82"/>
    </row>
    <row r="56" spans="2:11">
      <c r="B56" s="5"/>
      <c r="C56" s="6">
        <v>192</v>
      </c>
      <c r="D56" s="6" t="s">
        <v>87</v>
      </c>
      <c r="E56" s="7" t="s">
        <v>88</v>
      </c>
      <c r="F56" s="82"/>
    </row>
    <row r="57" spans="2:11">
      <c r="B57" s="5"/>
      <c r="C57" s="6">
        <v>193</v>
      </c>
      <c r="D57" s="6" t="s">
        <v>89</v>
      </c>
      <c r="E57" s="7" t="s">
        <v>90</v>
      </c>
      <c r="F57" s="82">
        <v>15143.42</v>
      </c>
    </row>
    <row r="58" spans="2:11">
      <c r="B58" s="5"/>
      <c r="C58" s="6">
        <v>195</v>
      </c>
      <c r="D58" s="6" t="s">
        <v>91</v>
      </c>
      <c r="E58" s="7" t="s">
        <v>92</v>
      </c>
      <c r="F58" s="82"/>
    </row>
    <row r="59" spans="2:11">
      <c r="B59" s="5"/>
      <c r="C59" s="6">
        <v>196</v>
      </c>
      <c r="D59" s="6" t="s">
        <v>93</v>
      </c>
      <c r="E59" s="7" t="s">
        <v>94</v>
      </c>
      <c r="F59" s="82">
        <v>9000</v>
      </c>
    </row>
    <row r="60" spans="2:11">
      <c r="B60" s="5"/>
      <c r="C60" s="6">
        <v>197</v>
      </c>
      <c r="D60" s="6" t="s">
        <v>95</v>
      </c>
      <c r="E60" s="7" t="s">
        <v>96</v>
      </c>
      <c r="F60" s="82"/>
    </row>
    <row r="61" spans="2:11">
      <c r="B61" s="5"/>
      <c r="C61" s="6">
        <v>198</v>
      </c>
      <c r="D61" s="6" t="s">
        <v>97</v>
      </c>
      <c r="E61" s="7" t="s">
        <v>98</v>
      </c>
      <c r="F61" s="82"/>
    </row>
    <row r="62" spans="2:11" ht="10.5" thickBot="1">
      <c r="B62" s="5"/>
      <c r="C62" s="15">
        <v>199</v>
      </c>
      <c r="D62" s="15" t="s">
        <v>99</v>
      </c>
      <c r="E62" s="15" t="s">
        <v>100</v>
      </c>
      <c r="F62" s="83"/>
    </row>
    <row r="63" spans="2:11" ht="11" thickBot="1">
      <c r="B63" s="52">
        <v>1</v>
      </c>
      <c r="C63" s="54" t="s">
        <v>101</v>
      </c>
      <c r="D63" s="54"/>
      <c r="E63" s="54" t="s">
        <v>102</v>
      </c>
      <c r="F63" s="84">
        <f>+F7</f>
        <v>68425302.850000009</v>
      </c>
    </row>
    <row r="64" spans="2:11" s="40" customFormat="1" ht="11" thickBot="1">
      <c r="B64" s="46"/>
      <c r="C64" s="49"/>
      <c r="D64" s="49"/>
      <c r="E64" s="49"/>
      <c r="F64" s="85"/>
      <c r="I64" s="74"/>
      <c r="J64" s="72"/>
      <c r="K64" s="74"/>
    </row>
    <row r="65" spans="2:6" ht="11" thickBot="1">
      <c r="B65" s="52">
        <v>2</v>
      </c>
      <c r="C65" s="53" t="s">
        <v>103</v>
      </c>
      <c r="D65" s="53"/>
      <c r="E65" s="53" t="s">
        <v>104</v>
      </c>
      <c r="F65" s="86">
        <f>+F66+F72+F80+F91+F102+F117+F111+F120</f>
        <v>143470.76999999999</v>
      </c>
    </row>
    <row r="66" spans="2:6" ht="11" thickBot="1">
      <c r="B66" s="50">
        <v>22</v>
      </c>
      <c r="C66" s="51" t="s">
        <v>28</v>
      </c>
      <c r="D66" s="51"/>
      <c r="E66" s="11" t="s">
        <v>105</v>
      </c>
      <c r="F66" s="87">
        <f>SUM(F67:F71)</f>
        <v>1419</v>
      </c>
    </row>
    <row r="67" spans="2:6" ht="10.5" thickTop="1">
      <c r="B67" s="5"/>
      <c r="C67" s="6">
        <v>220</v>
      </c>
      <c r="D67" s="6" t="s">
        <v>30</v>
      </c>
      <c r="E67" s="7" t="s">
        <v>31</v>
      </c>
      <c r="F67" s="82"/>
    </row>
    <row r="68" spans="2:6">
      <c r="B68" s="5"/>
      <c r="C68" s="6">
        <v>221</v>
      </c>
      <c r="D68" s="6" t="s">
        <v>32</v>
      </c>
      <c r="E68" s="7" t="s">
        <v>33</v>
      </c>
      <c r="F68" s="82"/>
    </row>
    <row r="69" spans="2:6">
      <c r="B69" s="5"/>
      <c r="C69" s="15">
        <v>222</v>
      </c>
      <c r="D69" s="15" t="s">
        <v>106</v>
      </c>
      <c r="E69" s="8" t="s">
        <v>107</v>
      </c>
      <c r="F69" s="83"/>
    </row>
    <row r="70" spans="2:6">
      <c r="B70" s="5"/>
      <c r="C70" s="6">
        <v>226</v>
      </c>
      <c r="D70" s="6" t="s">
        <v>36</v>
      </c>
      <c r="E70" s="7" t="s">
        <v>37</v>
      </c>
      <c r="F70" s="82">
        <v>1419</v>
      </c>
    </row>
    <row r="71" spans="2:6" ht="10.5" thickBot="1">
      <c r="B71" s="5"/>
      <c r="C71" s="15">
        <v>229</v>
      </c>
      <c r="D71" s="15" t="s">
        <v>108</v>
      </c>
      <c r="E71" s="12" t="s">
        <v>109</v>
      </c>
      <c r="F71" s="83"/>
    </row>
    <row r="72" spans="2:6" ht="11.5" thickTop="1" thickBot="1">
      <c r="B72" s="3">
        <v>23</v>
      </c>
      <c r="C72" s="9" t="s">
        <v>44</v>
      </c>
      <c r="D72" s="9"/>
      <c r="E72" s="13" t="s">
        <v>39</v>
      </c>
      <c r="F72" s="81">
        <f>SUM(F73:F79)</f>
        <v>0</v>
      </c>
    </row>
    <row r="73" spans="2:6" ht="10.5" thickTop="1">
      <c r="B73" s="5"/>
      <c r="C73" s="6">
        <v>231</v>
      </c>
      <c r="D73" s="6" t="s">
        <v>45</v>
      </c>
      <c r="E73" s="7" t="s">
        <v>46</v>
      </c>
      <c r="F73" s="82"/>
    </row>
    <row r="74" spans="2:6">
      <c r="B74" s="5"/>
      <c r="C74" s="6">
        <v>232</v>
      </c>
      <c r="D74" s="6" t="s">
        <v>47</v>
      </c>
      <c r="E74" s="7" t="s">
        <v>48</v>
      </c>
      <c r="F74" s="82"/>
    </row>
    <row r="75" spans="2:6">
      <c r="B75" s="5"/>
      <c r="C75" s="6">
        <v>233</v>
      </c>
      <c r="D75" s="6" t="s">
        <v>49</v>
      </c>
      <c r="E75" s="7" t="s">
        <v>110</v>
      </c>
      <c r="F75" s="82"/>
    </row>
    <row r="76" spans="2:6">
      <c r="B76" s="5"/>
      <c r="C76" s="6">
        <v>235</v>
      </c>
      <c r="D76" s="6" t="s">
        <v>51</v>
      </c>
      <c r="E76" s="7" t="s">
        <v>52</v>
      </c>
      <c r="F76" s="82"/>
    </row>
    <row r="77" spans="2:6">
      <c r="B77" s="5"/>
      <c r="C77" s="6">
        <v>236</v>
      </c>
      <c r="D77" s="6" t="s">
        <v>53</v>
      </c>
      <c r="E77" s="7" t="s">
        <v>111</v>
      </c>
      <c r="F77" s="82"/>
    </row>
    <row r="78" spans="2:6">
      <c r="B78" s="5"/>
      <c r="C78" s="15">
        <v>237</v>
      </c>
      <c r="D78" s="15" t="s">
        <v>54</v>
      </c>
      <c r="E78" s="8" t="s">
        <v>356</v>
      </c>
      <c r="F78" s="83"/>
    </row>
    <row r="79" spans="2:6" ht="10.5" thickBot="1">
      <c r="B79" s="17"/>
      <c r="C79" s="79">
        <v>239</v>
      </c>
      <c r="D79" s="79" t="s">
        <v>57</v>
      </c>
      <c r="E79" s="18" t="s">
        <v>379</v>
      </c>
      <c r="F79" s="88"/>
    </row>
    <row r="80" spans="2:6" ht="11.5" thickTop="1" thickBot="1">
      <c r="B80" s="3">
        <v>24</v>
      </c>
      <c r="C80" s="9" t="s">
        <v>112</v>
      </c>
      <c r="D80" s="9"/>
      <c r="E80" s="9" t="s">
        <v>113</v>
      </c>
      <c r="F80" s="81">
        <f>SUM(F81:F90)</f>
        <v>0</v>
      </c>
    </row>
    <row r="81" spans="2:6" ht="10.5" thickTop="1">
      <c r="B81" s="5"/>
      <c r="C81" s="6">
        <v>240</v>
      </c>
      <c r="D81" s="6" t="s">
        <v>114</v>
      </c>
      <c r="E81" s="7" t="s">
        <v>115</v>
      </c>
      <c r="F81" s="82"/>
    </row>
    <row r="82" spans="2:6">
      <c r="B82" s="5"/>
      <c r="C82" s="15">
        <v>241</v>
      </c>
      <c r="D82" s="15" t="s">
        <v>116</v>
      </c>
      <c r="E82" s="8" t="s">
        <v>380</v>
      </c>
      <c r="F82" s="83"/>
    </row>
    <row r="83" spans="2:6">
      <c r="B83" s="5"/>
      <c r="C83" s="6">
        <v>242</v>
      </c>
      <c r="D83" s="6" t="s">
        <v>117</v>
      </c>
      <c r="E83" s="7" t="s">
        <v>118</v>
      </c>
      <c r="F83" s="82"/>
    </row>
    <row r="84" spans="2:6">
      <c r="B84" s="5"/>
      <c r="C84" s="15">
        <v>243</v>
      </c>
      <c r="D84" s="15" t="s">
        <v>119</v>
      </c>
      <c r="E84" s="8" t="s">
        <v>381</v>
      </c>
      <c r="F84" s="83"/>
    </row>
    <row r="85" spans="2:6">
      <c r="B85" s="5"/>
      <c r="C85" s="15">
        <v>244</v>
      </c>
      <c r="D85" s="15" t="s">
        <v>120</v>
      </c>
      <c r="E85" s="8" t="s">
        <v>382</v>
      </c>
      <c r="F85" s="83"/>
    </row>
    <row r="86" spans="2:6">
      <c r="B86" s="5"/>
      <c r="C86" s="6">
        <v>245</v>
      </c>
      <c r="D86" s="6" t="s">
        <v>121</v>
      </c>
      <c r="E86" s="7" t="s">
        <v>122</v>
      </c>
      <c r="F86" s="82"/>
    </row>
    <row r="87" spans="2:6">
      <c r="B87" s="5"/>
      <c r="C87" s="15">
        <v>246</v>
      </c>
      <c r="D87" s="15" t="s">
        <v>123</v>
      </c>
      <c r="E87" s="8" t="s">
        <v>383</v>
      </c>
      <c r="F87" s="83"/>
    </row>
    <row r="88" spans="2:6">
      <c r="B88" s="5"/>
      <c r="C88" s="15">
        <v>247</v>
      </c>
      <c r="D88" s="15" t="s">
        <v>124</v>
      </c>
      <c r="E88" s="8" t="s">
        <v>385</v>
      </c>
      <c r="F88" s="83"/>
    </row>
    <row r="89" spans="2:6">
      <c r="B89" s="5"/>
      <c r="C89" s="6">
        <v>248</v>
      </c>
      <c r="D89" s="6" t="s">
        <v>125</v>
      </c>
      <c r="E89" s="7" t="s">
        <v>126</v>
      </c>
      <c r="F89" s="82"/>
    </row>
    <row r="90" spans="2:6" ht="10.5" thickBot="1">
      <c r="B90" s="5"/>
      <c r="C90" s="15">
        <v>249</v>
      </c>
      <c r="D90" s="15" t="s">
        <v>127</v>
      </c>
      <c r="E90" s="12" t="s">
        <v>384</v>
      </c>
      <c r="F90" s="83"/>
    </row>
    <row r="91" spans="2:6" ht="11.5" thickTop="1" thickBot="1">
      <c r="B91" s="3">
        <v>25</v>
      </c>
      <c r="C91" s="9" t="s">
        <v>128</v>
      </c>
      <c r="D91" s="9"/>
      <c r="E91" s="13" t="s">
        <v>129</v>
      </c>
      <c r="F91" s="81">
        <f>SUM(F92:F101)</f>
        <v>93234.08</v>
      </c>
    </row>
    <row r="92" spans="2:6" ht="10.5" thickTop="1">
      <c r="B92" s="5"/>
      <c r="C92" s="6">
        <v>250</v>
      </c>
      <c r="D92" s="6" t="s">
        <v>130</v>
      </c>
      <c r="E92" s="7" t="s">
        <v>129</v>
      </c>
      <c r="F92" s="82"/>
    </row>
    <row r="93" spans="2:6">
      <c r="B93" s="5"/>
      <c r="C93" s="6">
        <v>251</v>
      </c>
      <c r="D93" s="6" t="s">
        <v>131</v>
      </c>
      <c r="E93" s="7" t="s">
        <v>132</v>
      </c>
      <c r="F93" s="82"/>
    </row>
    <row r="94" spans="2:6">
      <c r="B94" s="5"/>
      <c r="C94" s="6">
        <v>252</v>
      </c>
      <c r="D94" s="6" t="s">
        <v>133</v>
      </c>
      <c r="E94" s="7" t="s">
        <v>134</v>
      </c>
      <c r="F94" s="82"/>
    </row>
    <row r="95" spans="2:6">
      <c r="B95" s="5"/>
      <c r="C95" s="6">
        <v>253</v>
      </c>
      <c r="D95" s="6" t="s">
        <v>135</v>
      </c>
      <c r="E95" s="7" t="s">
        <v>374</v>
      </c>
      <c r="F95" s="82"/>
    </row>
    <row r="96" spans="2:6">
      <c r="B96" s="5"/>
      <c r="C96" s="6">
        <v>254</v>
      </c>
      <c r="D96" s="6" t="s">
        <v>136</v>
      </c>
      <c r="E96" s="7" t="s">
        <v>137</v>
      </c>
      <c r="F96" s="82"/>
    </row>
    <row r="97" spans="2:6">
      <c r="B97" s="5"/>
      <c r="C97" s="6">
        <v>255</v>
      </c>
      <c r="D97" s="6" t="s">
        <v>138</v>
      </c>
      <c r="E97" s="7" t="s">
        <v>375</v>
      </c>
      <c r="F97" s="82">
        <v>128581.05</v>
      </c>
    </row>
    <row r="98" spans="2:6">
      <c r="B98" s="5"/>
      <c r="C98" s="6">
        <v>256</v>
      </c>
      <c r="D98" s="6" t="s">
        <v>139</v>
      </c>
      <c r="E98" s="7" t="s">
        <v>140</v>
      </c>
      <c r="F98" s="82"/>
    </row>
    <row r="99" spans="2:6">
      <c r="B99" s="5"/>
      <c r="C99" s="15">
        <v>257</v>
      </c>
      <c r="D99" s="15" t="s">
        <v>141</v>
      </c>
      <c r="E99" s="8" t="s">
        <v>357</v>
      </c>
      <c r="F99" s="83">
        <v>-35346.97</v>
      </c>
    </row>
    <row r="100" spans="2:6">
      <c r="B100" s="5"/>
      <c r="C100" s="6">
        <v>258</v>
      </c>
      <c r="D100" s="6" t="s">
        <v>142</v>
      </c>
      <c r="E100" s="7" t="s">
        <v>143</v>
      </c>
      <c r="F100" s="82"/>
    </row>
    <row r="101" spans="2:6" ht="10.5" thickBot="1">
      <c r="B101" s="5"/>
      <c r="C101" s="6">
        <v>259</v>
      </c>
      <c r="D101" s="6" t="s">
        <v>144</v>
      </c>
      <c r="E101" s="19" t="s">
        <v>145</v>
      </c>
      <c r="F101" s="82"/>
    </row>
    <row r="102" spans="2:6" ht="11.5" thickTop="1" thickBot="1">
      <c r="B102" s="3">
        <v>26</v>
      </c>
      <c r="C102" s="9" t="s">
        <v>146</v>
      </c>
      <c r="D102" s="9"/>
      <c r="E102" s="13" t="s">
        <v>147</v>
      </c>
      <c r="F102" s="81">
        <f>SUM(F103:F110)</f>
        <v>38129.199999999997</v>
      </c>
    </row>
    <row r="103" spans="2:6" ht="10.5" thickTop="1">
      <c r="B103" s="5"/>
      <c r="C103" s="6">
        <v>260</v>
      </c>
      <c r="D103" s="6" t="s">
        <v>148</v>
      </c>
      <c r="E103" s="7" t="s">
        <v>149</v>
      </c>
      <c r="F103" s="82">
        <v>58150</v>
      </c>
    </row>
    <row r="104" spans="2:6">
      <c r="B104" s="5"/>
      <c r="C104" s="6">
        <v>261</v>
      </c>
      <c r="D104" s="6" t="s">
        <v>150</v>
      </c>
      <c r="E104" s="7" t="s">
        <v>151</v>
      </c>
      <c r="F104" s="82"/>
    </row>
    <row r="105" spans="2:6">
      <c r="B105" s="5"/>
      <c r="C105" s="6">
        <v>262</v>
      </c>
      <c r="D105" s="6" t="s">
        <v>152</v>
      </c>
      <c r="E105" s="7" t="s">
        <v>153</v>
      </c>
      <c r="F105" s="82"/>
    </row>
    <row r="106" spans="2:6">
      <c r="B106" s="5"/>
      <c r="C106" s="6">
        <v>263</v>
      </c>
      <c r="D106" s="6" t="s">
        <v>154</v>
      </c>
      <c r="E106" s="7" t="s">
        <v>373</v>
      </c>
      <c r="F106" s="82"/>
    </row>
    <row r="107" spans="2:6">
      <c r="B107" s="5"/>
      <c r="C107" s="6">
        <v>264</v>
      </c>
      <c r="D107" s="6" t="s">
        <v>155</v>
      </c>
      <c r="E107" s="7" t="s">
        <v>156</v>
      </c>
      <c r="F107" s="82"/>
    </row>
    <row r="108" spans="2:6">
      <c r="B108" s="5"/>
      <c r="C108" s="6">
        <v>267</v>
      </c>
      <c r="D108" s="6" t="s">
        <v>157</v>
      </c>
      <c r="E108" s="7" t="s">
        <v>158</v>
      </c>
      <c r="F108" s="82"/>
    </row>
    <row r="109" spans="2:6">
      <c r="B109" s="5"/>
      <c r="C109" s="15">
        <v>268</v>
      </c>
      <c r="D109" s="15" t="s">
        <v>141</v>
      </c>
      <c r="E109" s="8" t="s">
        <v>357</v>
      </c>
      <c r="F109" s="83">
        <v>-20020.8</v>
      </c>
    </row>
    <row r="110" spans="2:6" ht="10.5" thickBot="1">
      <c r="B110" s="5"/>
      <c r="C110" s="6">
        <v>269</v>
      </c>
      <c r="D110" s="6" t="s">
        <v>144</v>
      </c>
      <c r="E110" s="19" t="s">
        <v>145</v>
      </c>
      <c r="F110" s="82"/>
    </row>
    <row r="111" spans="2:6" ht="11.5" thickTop="1" thickBot="1">
      <c r="B111" s="3">
        <v>27</v>
      </c>
      <c r="C111" s="9" t="s">
        <v>159</v>
      </c>
      <c r="D111" s="9"/>
      <c r="E111" s="11" t="s">
        <v>370</v>
      </c>
      <c r="F111" s="81">
        <f>SUM(F112:F116)</f>
        <v>0</v>
      </c>
    </row>
    <row r="112" spans="2:6" ht="10.5" thickTop="1">
      <c r="B112" s="5"/>
      <c r="C112" s="6">
        <v>271</v>
      </c>
      <c r="D112" s="6" t="s">
        <v>160</v>
      </c>
      <c r="E112" s="7" t="s">
        <v>161</v>
      </c>
      <c r="F112" s="82"/>
    </row>
    <row r="113" spans="2:6">
      <c r="B113" s="5"/>
      <c r="C113" s="6">
        <v>272</v>
      </c>
      <c r="D113" s="6" t="s">
        <v>162</v>
      </c>
      <c r="E113" s="7" t="s">
        <v>163</v>
      </c>
      <c r="F113" s="82"/>
    </row>
    <row r="114" spans="2:6">
      <c r="B114" s="5"/>
      <c r="C114" s="6">
        <v>277</v>
      </c>
      <c r="D114" s="6" t="s">
        <v>164</v>
      </c>
      <c r="E114" s="7" t="s">
        <v>371</v>
      </c>
      <c r="F114" s="82"/>
    </row>
    <row r="115" spans="2:6">
      <c r="B115" s="5"/>
      <c r="C115" s="15">
        <v>278</v>
      </c>
      <c r="D115" s="15" t="s">
        <v>165</v>
      </c>
      <c r="E115" s="8" t="s">
        <v>357</v>
      </c>
      <c r="F115" s="83"/>
    </row>
    <row r="116" spans="2:6" ht="10.5" thickBot="1">
      <c r="B116" s="5"/>
      <c r="C116" s="6">
        <v>279</v>
      </c>
      <c r="D116" s="6" t="s">
        <v>144</v>
      </c>
      <c r="E116" s="19" t="s">
        <v>145</v>
      </c>
      <c r="F116" s="82"/>
    </row>
    <row r="117" spans="2:6" ht="11.5" thickTop="1" thickBot="1">
      <c r="B117" s="3">
        <v>28</v>
      </c>
      <c r="C117" s="9" t="s">
        <v>166</v>
      </c>
      <c r="D117" s="9"/>
      <c r="E117" s="11" t="s">
        <v>372</v>
      </c>
      <c r="F117" s="81">
        <f>SUM(F118:F119)</f>
        <v>10688.49</v>
      </c>
    </row>
    <row r="118" spans="2:6" ht="10.5" thickTop="1">
      <c r="B118" s="5"/>
      <c r="C118" s="6">
        <v>280</v>
      </c>
      <c r="D118" s="6" t="s">
        <v>167</v>
      </c>
      <c r="E118" s="7" t="s">
        <v>372</v>
      </c>
      <c r="F118" s="82">
        <v>10688.49</v>
      </c>
    </row>
    <row r="119" spans="2:6" ht="10.5" thickBot="1">
      <c r="B119" s="5"/>
      <c r="C119" s="6">
        <v>281</v>
      </c>
      <c r="D119" s="6" t="s">
        <v>168</v>
      </c>
      <c r="E119" s="19" t="s">
        <v>80</v>
      </c>
      <c r="F119" s="82"/>
    </row>
    <row r="120" spans="2:6" ht="11.5" thickTop="1" thickBot="1">
      <c r="B120" s="3">
        <v>29</v>
      </c>
      <c r="C120" s="9" t="s">
        <v>169</v>
      </c>
      <c r="D120" s="9"/>
      <c r="E120" s="13" t="s">
        <v>104</v>
      </c>
      <c r="F120" s="81">
        <f>SUM(F121:F128)</f>
        <v>0</v>
      </c>
    </row>
    <row r="121" spans="2:6" ht="10.5" thickTop="1">
      <c r="B121" s="5"/>
      <c r="C121" s="6">
        <v>291</v>
      </c>
      <c r="D121" s="6" t="s">
        <v>170</v>
      </c>
      <c r="E121" s="7" t="s">
        <v>171</v>
      </c>
      <c r="F121" s="82"/>
    </row>
    <row r="122" spans="2:6">
      <c r="B122" s="5"/>
      <c r="C122" s="6">
        <v>292</v>
      </c>
      <c r="D122" s="6" t="s">
        <v>87</v>
      </c>
      <c r="E122" s="7" t="s">
        <v>88</v>
      </c>
      <c r="F122" s="82"/>
    </row>
    <row r="123" spans="2:6">
      <c r="B123" s="5"/>
      <c r="C123" s="6">
        <v>293</v>
      </c>
      <c r="D123" s="6" t="s">
        <v>172</v>
      </c>
      <c r="E123" s="7" t="s">
        <v>173</v>
      </c>
      <c r="F123" s="82"/>
    </row>
    <row r="124" spans="2:6">
      <c r="B124" s="5"/>
      <c r="C124" s="6">
        <v>294</v>
      </c>
      <c r="D124" s="6" t="s">
        <v>174</v>
      </c>
      <c r="E124" s="7" t="s">
        <v>175</v>
      </c>
      <c r="F124" s="82"/>
    </row>
    <row r="125" spans="2:6">
      <c r="B125" s="5"/>
      <c r="C125" s="6">
        <v>295</v>
      </c>
      <c r="D125" s="6" t="s">
        <v>89</v>
      </c>
      <c r="E125" s="7" t="s">
        <v>176</v>
      </c>
      <c r="F125" s="82"/>
    </row>
    <row r="126" spans="2:6">
      <c r="B126" s="5"/>
      <c r="C126" s="6">
        <v>297</v>
      </c>
      <c r="D126" s="6" t="s">
        <v>177</v>
      </c>
      <c r="E126" s="7" t="s">
        <v>178</v>
      </c>
      <c r="F126" s="82"/>
    </row>
    <row r="127" spans="2:6">
      <c r="B127" s="5"/>
      <c r="C127" s="15">
        <v>298</v>
      </c>
      <c r="D127" s="15" t="s">
        <v>70</v>
      </c>
      <c r="E127" s="8" t="s">
        <v>358</v>
      </c>
      <c r="F127" s="82"/>
    </row>
    <row r="128" spans="2:6" ht="10.5" thickBot="1">
      <c r="B128" s="5"/>
      <c r="C128" s="15">
        <v>299</v>
      </c>
      <c r="D128" s="15" t="s">
        <v>141</v>
      </c>
      <c r="E128" s="8" t="s">
        <v>357</v>
      </c>
      <c r="F128" s="82"/>
    </row>
    <row r="129" spans="2:8" ht="11" thickTop="1">
      <c r="B129" s="20">
        <v>2</v>
      </c>
      <c r="C129" s="21" t="s">
        <v>179</v>
      </c>
      <c r="D129" s="21"/>
      <c r="E129" s="21" t="s">
        <v>180</v>
      </c>
      <c r="F129" s="89">
        <f>+F117+F102+F91+F80+F66</f>
        <v>143470.76999999999</v>
      </c>
    </row>
    <row r="130" spans="2:8" ht="10.5">
      <c r="B130" s="22"/>
      <c r="C130" s="23" t="s">
        <v>181</v>
      </c>
      <c r="D130" s="23"/>
      <c r="E130" s="23" t="s">
        <v>182</v>
      </c>
      <c r="F130" s="90">
        <f>F63+F129</f>
        <v>68568773.620000005</v>
      </c>
      <c r="G130" s="61">
        <f>F130-'BALANCE SHEET - LIABILITIES'!F14</f>
        <v>57232099.500000007</v>
      </c>
      <c r="H130" s="61"/>
    </row>
    <row r="131" spans="2:8">
      <c r="B131" s="25"/>
      <c r="C131" s="26"/>
      <c r="D131" s="26"/>
      <c r="E131" s="27"/>
      <c r="F131" s="91"/>
      <c r="G131" s="24"/>
    </row>
    <row r="132" spans="2:8">
      <c r="B132" s="25"/>
      <c r="C132" s="26"/>
      <c r="D132" s="26"/>
      <c r="E132" s="27"/>
      <c r="F132" s="91"/>
      <c r="G132" s="24"/>
    </row>
    <row r="133" spans="2:8">
      <c r="B133" s="25"/>
      <c r="C133" s="26"/>
      <c r="D133" s="26"/>
      <c r="E133" s="27" t="s">
        <v>482</v>
      </c>
      <c r="F133" s="91"/>
      <c r="G133" s="24"/>
    </row>
    <row r="134" spans="2:8">
      <c r="B134" s="25"/>
      <c r="C134" s="26"/>
      <c r="D134" s="26"/>
      <c r="E134" s="27"/>
      <c r="F134" s="91"/>
      <c r="G134" s="24"/>
    </row>
    <row r="135" spans="2:8">
      <c r="B135" s="25"/>
      <c r="C135" s="26"/>
      <c r="D135" s="26"/>
      <c r="E135" s="27"/>
      <c r="F135" s="91"/>
      <c r="G135" s="24"/>
    </row>
    <row r="136" spans="2:8">
      <c r="B136" s="25"/>
      <c r="C136" s="26"/>
      <c r="D136" s="26"/>
      <c r="E136" s="27"/>
      <c r="F136" s="91"/>
      <c r="G136" s="24"/>
    </row>
    <row r="137" spans="2:8">
      <c r="B137" s="25"/>
      <c r="C137" s="26"/>
      <c r="D137" s="26"/>
      <c r="E137" s="27"/>
      <c r="F137" s="91"/>
      <c r="G137" s="24"/>
    </row>
    <row r="138" spans="2:8">
      <c r="B138" s="25"/>
      <c r="C138" s="26"/>
      <c r="D138" s="26"/>
      <c r="E138" s="27"/>
      <c r="F138" s="91"/>
      <c r="G138" s="24"/>
    </row>
    <row r="139" spans="2:8">
      <c r="B139" s="25"/>
      <c r="C139" s="26"/>
      <c r="D139" s="26"/>
      <c r="E139" s="27"/>
      <c r="F139" s="91"/>
      <c r="G139" s="24"/>
    </row>
  </sheetData>
  <mergeCells count="2">
    <mergeCell ref="B3:F3"/>
    <mergeCell ref="B4:F4"/>
  </mergeCells>
  <phoneticPr fontId="2" type="noConversion"/>
  <pageMargins left="0.19" right="0" top="0.47" bottom="0.26" header="0.36" footer="0.2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25"/>
  <sheetViews>
    <sheetView zoomScaleNormal="100" workbookViewId="0">
      <selection activeCell="D1" sqref="D1"/>
    </sheetView>
  </sheetViews>
  <sheetFormatPr defaultColWidth="9.1796875" defaultRowHeight="10"/>
  <cols>
    <col min="1" max="1" width="2" style="1" customWidth="1"/>
    <col min="2" max="2" width="2.81640625" style="1" customWidth="1"/>
    <col min="3" max="3" width="3.453125" style="1" customWidth="1"/>
    <col min="4" max="4" width="36.453125" style="1" bestFit="1" customWidth="1"/>
    <col min="5" max="5" width="49" style="1" bestFit="1" customWidth="1"/>
    <col min="6" max="6" width="14.81640625" style="71" bestFit="1" customWidth="1"/>
    <col min="7" max="7" width="9.1796875" style="1"/>
    <col min="8" max="8" width="10" style="1" bestFit="1" customWidth="1"/>
    <col min="9" max="16384" width="9.1796875" style="1"/>
  </cols>
  <sheetData>
    <row r="2" spans="2:7" ht="14">
      <c r="B2" s="137" t="s">
        <v>483</v>
      </c>
      <c r="C2" s="137"/>
      <c r="D2" s="137"/>
      <c r="E2" s="137"/>
      <c r="F2" s="137"/>
    </row>
    <row r="3" spans="2:7" s="45" customFormat="1" ht="14">
      <c r="B3" s="137" t="s">
        <v>485</v>
      </c>
      <c r="C3" s="137"/>
      <c r="D3" s="137"/>
      <c r="E3" s="137"/>
      <c r="F3" s="137"/>
    </row>
    <row r="4" spans="2:7" ht="10.5" thickBot="1">
      <c r="F4" s="61"/>
    </row>
    <row r="5" spans="2:7" s="40" customFormat="1" ht="11.5" thickTop="1" thickBot="1">
      <c r="B5" s="38"/>
      <c r="C5" s="39" t="s">
        <v>183</v>
      </c>
      <c r="D5" s="39"/>
      <c r="E5" s="39" t="s">
        <v>184</v>
      </c>
      <c r="F5" s="62"/>
      <c r="G5" s="40" t="s">
        <v>2</v>
      </c>
    </row>
    <row r="6" spans="2:7" s="40" customFormat="1" ht="11.5" thickTop="1" thickBot="1">
      <c r="B6" s="3">
        <v>3</v>
      </c>
      <c r="C6" s="41" t="s">
        <v>185</v>
      </c>
      <c r="D6" s="41"/>
      <c r="E6" s="41" t="s">
        <v>393</v>
      </c>
      <c r="F6" s="62">
        <f>+F7+F17+F23+F30+F35+F33+F41+F49+F52</f>
        <v>59322957.909999996</v>
      </c>
    </row>
    <row r="7" spans="2:7" ht="11.5" thickTop="1" thickBot="1">
      <c r="B7" s="3">
        <v>30</v>
      </c>
      <c r="C7" s="4" t="s">
        <v>186</v>
      </c>
      <c r="D7" s="4"/>
      <c r="E7" s="13" t="s">
        <v>394</v>
      </c>
      <c r="F7" s="62">
        <f>SUM(F8:F16)</f>
        <v>57506100.209999993</v>
      </c>
    </row>
    <row r="8" spans="2:7" ht="11" thickTop="1">
      <c r="B8" s="29"/>
      <c r="C8" s="6">
        <v>300</v>
      </c>
      <c r="D8" s="30" t="s">
        <v>187</v>
      </c>
      <c r="E8" s="7" t="s">
        <v>188</v>
      </c>
      <c r="F8" s="63">
        <v>31220103.899999999</v>
      </c>
    </row>
    <row r="9" spans="2:7" ht="10.5">
      <c r="B9" s="29"/>
      <c r="C9" s="6">
        <v>301</v>
      </c>
      <c r="D9" s="125" t="s">
        <v>488</v>
      </c>
      <c r="E9" s="120" t="s">
        <v>487</v>
      </c>
      <c r="F9" s="63">
        <v>14949322.189999999</v>
      </c>
    </row>
    <row r="10" spans="2:7" ht="10.5">
      <c r="B10" s="29"/>
      <c r="C10" s="126">
        <v>302</v>
      </c>
      <c r="D10" s="127" t="s">
        <v>420</v>
      </c>
      <c r="E10" s="128" t="s">
        <v>388</v>
      </c>
      <c r="F10" s="63"/>
    </row>
    <row r="11" spans="2:7" ht="10.5">
      <c r="B11" s="29"/>
      <c r="C11" s="6">
        <v>303</v>
      </c>
      <c r="D11" s="30" t="s">
        <v>189</v>
      </c>
      <c r="E11" s="7" t="s">
        <v>395</v>
      </c>
      <c r="F11" s="63"/>
    </row>
    <row r="12" spans="2:7" ht="10.5">
      <c r="B12" s="29"/>
      <c r="C12" s="6">
        <v>304</v>
      </c>
      <c r="D12" s="30" t="s">
        <v>190</v>
      </c>
      <c r="E12" s="7" t="s">
        <v>419</v>
      </c>
      <c r="F12" s="63"/>
    </row>
    <row r="13" spans="2:7" ht="10.5">
      <c r="B13" s="29"/>
      <c r="C13" s="6">
        <v>305</v>
      </c>
      <c r="D13" s="30" t="s">
        <v>191</v>
      </c>
      <c r="E13" s="7" t="s">
        <v>192</v>
      </c>
      <c r="F13" s="63"/>
    </row>
    <row r="14" spans="2:7" ht="10.5">
      <c r="B14" s="29"/>
      <c r="C14" s="6">
        <v>306</v>
      </c>
      <c r="D14" s="30" t="s">
        <v>193</v>
      </c>
      <c r="E14" s="7" t="s">
        <v>194</v>
      </c>
      <c r="F14" s="63">
        <v>11336674.119999999</v>
      </c>
    </row>
    <row r="15" spans="2:7" ht="10.5">
      <c r="B15" s="29"/>
      <c r="C15" s="15">
        <v>308</v>
      </c>
      <c r="D15" s="32" t="s">
        <v>195</v>
      </c>
      <c r="E15" s="8" t="s">
        <v>447</v>
      </c>
      <c r="F15" s="65"/>
    </row>
    <row r="16" spans="2:7" ht="11" thickBot="1">
      <c r="B16" s="29"/>
      <c r="C16" s="6">
        <v>309</v>
      </c>
      <c r="D16" s="30" t="s">
        <v>196</v>
      </c>
      <c r="E16" s="19" t="s">
        <v>197</v>
      </c>
      <c r="F16" s="63"/>
    </row>
    <row r="17" spans="2:8" ht="11.5" thickTop="1" thickBot="1">
      <c r="B17" s="3">
        <v>32</v>
      </c>
      <c r="C17" s="4" t="s">
        <v>198</v>
      </c>
      <c r="D17" s="4"/>
      <c r="E17" s="13" t="s">
        <v>396</v>
      </c>
      <c r="F17" s="62">
        <f>SUM(F18:F22)</f>
        <v>1021129.21</v>
      </c>
    </row>
    <row r="18" spans="2:8" ht="11" thickTop="1">
      <c r="B18" s="29"/>
      <c r="C18" s="6">
        <v>320</v>
      </c>
      <c r="D18" s="30" t="s">
        <v>199</v>
      </c>
      <c r="E18" s="7" t="s">
        <v>200</v>
      </c>
      <c r="F18" s="63">
        <v>1021129.21</v>
      </c>
    </row>
    <row r="19" spans="2:8" ht="10.5">
      <c r="B19" s="29"/>
      <c r="C19" s="6">
        <v>321</v>
      </c>
      <c r="D19" s="30" t="s">
        <v>201</v>
      </c>
      <c r="E19" s="7" t="s">
        <v>202</v>
      </c>
      <c r="F19" s="63"/>
    </row>
    <row r="20" spans="2:8" ht="10.5">
      <c r="B20" s="29"/>
      <c r="C20" s="15">
        <v>322</v>
      </c>
      <c r="D20" s="32" t="s">
        <v>203</v>
      </c>
      <c r="E20" s="8" t="s">
        <v>448</v>
      </c>
      <c r="F20" s="64"/>
    </row>
    <row r="21" spans="2:8" ht="10.5">
      <c r="B21" s="29"/>
      <c r="C21" s="6">
        <v>326</v>
      </c>
      <c r="D21" s="30" t="s">
        <v>204</v>
      </c>
      <c r="E21" s="7" t="s">
        <v>416</v>
      </c>
      <c r="F21" s="63"/>
    </row>
    <row r="22" spans="2:8" ht="11" thickBot="1">
      <c r="B22" s="29"/>
      <c r="C22" s="6">
        <v>329</v>
      </c>
      <c r="D22" s="30" t="s">
        <v>205</v>
      </c>
      <c r="E22" s="19" t="s">
        <v>417</v>
      </c>
      <c r="F22" s="63"/>
    </row>
    <row r="23" spans="2:8" ht="11.5" thickTop="1" thickBot="1">
      <c r="B23" s="3">
        <v>33</v>
      </c>
      <c r="C23" s="4" t="s">
        <v>206</v>
      </c>
      <c r="D23" s="4"/>
      <c r="E23" s="13" t="s">
        <v>418</v>
      </c>
      <c r="F23" s="62">
        <f>SUM(F24:F29)</f>
        <v>57321.99</v>
      </c>
    </row>
    <row r="24" spans="2:8" ht="11" thickTop="1">
      <c r="B24" s="29"/>
      <c r="C24" s="6">
        <v>331</v>
      </c>
      <c r="D24" s="30" t="s">
        <v>207</v>
      </c>
      <c r="E24" s="7" t="s">
        <v>411</v>
      </c>
      <c r="F24" s="63"/>
    </row>
    <row r="25" spans="2:8" ht="10.5">
      <c r="B25" s="29"/>
      <c r="C25" s="6">
        <v>332</v>
      </c>
      <c r="D25" s="30" t="s">
        <v>208</v>
      </c>
      <c r="E25" s="7" t="s">
        <v>412</v>
      </c>
      <c r="F25" s="63"/>
    </row>
    <row r="26" spans="2:8" ht="10.5">
      <c r="B26" s="29"/>
      <c r="C26" s="6">
        <v>333</v>
      </c>
      <c r="D26" s="30" t="s">
        <v>209</v>
      </c>
      <c r="E26" s="7" t="s">
        <v>413</v>
      </c>
      <c r="F26" s="63"/>
    </row>
    <row r="27" spans="2:8" ht="10.5">
      <c r="B27" s="29"/>
      <c r="C27" s="6">
        <v>335</v>
      </c>
      <c r="D27" s="30" t="s">
        <v>210</v>
      </c>
      <c r="E27" s="7" t="s">
        <v>414</v>
      </c>
      <c r="F27" s="63">
        <v>57321.99</v>
      </c>
    </row>
    <row r="28" spans="2:8" ht="10.5">
      <c r="B28" s="29"/>
      <c r="C28" s="6">
        <v>336</v>
      </c>
      <c r="D28" s="30" t="s">
        <v>211</v>
      </c>
      <c r="E28" s="7" t="s">
        <v>404</v>
      </c>
      <c r="F28" s="63"/>
    </row>
    <row r="29" spans="2:8" ht="11" thickBot="1">
      <c r="B29" s="29"/>
      <c r="C29" s="15">
        <v>337</v>
      </c>
      <c r="D29" s="32" t="s">
        <v>212</v>
      </c>
      <c r="E29" s="8" t="s">
        <v>449</v>
      </c>
      <c r="F29" s="65"/>
    </row>
    <row r="30" spans="2:8" ht="11.5" thickTop="1" thickBot="1">
      <c r="B30" s="3">
        <v>34</v>
      </c>
      <c r="C30" s="4" t="s">
        <v>213</v>
      </c>
      <c r="D30" s="4"/>
      <c r="E30" s="4"/>
      <c r="F30" s="62">
        <f>SUM(F31:F32)</f>
        <v>0</v>
      </c>
      <c r="H30" s="61"/>
    </row>
    <row r="31" spans="2:8" ht="11" thickTop="1">
      <c r="B31" s="29"/>
      <c r="C31" s="6">
        <v>340</v>
      </c>
      <c r="D31" s="30" t="s">
        <v>214</v>
      </c>
      <c r="E31" s="30" t="s">
        <v>389</v>
      </c>
      <c r="F31" s="63"/>
    </row>
    <row r="32" spans="2:8" ht="11" thickBot="1">
      <c r="B32" s="29"/>
      <c r="C32" s="6">
        <v>349</v>
      </c>
      <c r="D32" s="30" t="s">
        <v>215</v>
      </c>
      <c r="E32" s="30" t="s">
        <v>390</v>
      </c>
      <c r="F32" s="63"/>
    </row>
    <row r="33" spans="2:7" ht="11.5" thickTop="1" thickBot="1">
      <c r="B33" s="3">
        <v>35</v>
      </c>
      <c r="C33" s="4" t="s">
        <v>216</v>
      </c>
      <c r="D33" s="4"/>
      <c r="E33" s="4"/>
      <c r="F33" s="62">
        <f>SUM(F34)</f>
        <v>0</v>
      </c>
    </row>
    <row r="34" spans="2:7" ht="11.5" thickTop="1" thickBot="1">
      <c r="B34" s="29"/>
      <c r="C34" s="6">
        <v>350</v>
      </c>
      <c r="D34" s="31" t="s">
        <v>217</v>
      </c>
      <c r="E34" s="30"/>
      <c r="F34" s="63"/>
    </row>
    <row r="35" spans="2:7" ht="11.5" thickTop="1" thickBot="1">
      <c r="B35" s="3">
        <v>36</v>
      </c>
      <c r="C35" s="4" t="s">
        <v>218</v>
      </c>
      <c r="D35" s="4"/>
      <c r="E35" s="4" t="s">
        <v>402</v>
      </c>
      <c r="F35" s="62">
        <f>SUM(F36:F40)</f>
        <v>738406.5</v>
      </c>
    </row>
    <row r="36" spans="2:7" ht="11" thickTop="1">
      <c r="B36" s="29"/>
      <c r="C36" s="6">
        <v>360</v>
      </c>
      <c r="D36" s="30" t="s">
        <v>219</v>
      </c>
      <c r="E36" s="7" t="s">
        <v>403</v>
      </c>
      <c r="F36" s="63">
        <v>664092.28</v>
      </c>
    </row>
    <row r="37" spans="2:7" ht="10.5">
      <c r="B37" s="29"/>
      <c r="C37" s="6">
        <v>361</v>
      </c>
      <c r="D37" s="30" t="s">
        <v>220</v>
      </c>
      <c r="E37" s="7" t="s">
        <v>407</v>
      </c>
      <c r="F37" s="63">
        <v>74314.22</v>
      </c>
    </row>
    <row r="38" spans="2:7" ht="10.5">
      <c r="B38" s="29"/>
      <c r="C38" s="6">
        <v>368</v>
      </c>
      <c r="D38" s="30" t="s">
        <v>221</v>
      </c>
      <c r="E38" s="7" t="s">
        <v>405</v>
      </c>
      <c r="F38" s="63"/>
    </row>
    <row r="39" spans="2:7" ht="10.5">
      <c r="B39" s="29"/>
      <c r="C39" s="6"/>
      <c r="D39" s="30" t="s">
        <v>222</v>
      </c>
      <c r="E39" s="30"/>
      <c r="F39" s="63"/>
    </row>
    <row r="40" spans="2:7" ht="11" thickBot="1">
      <c r="B40" s="29"/>
      <c r="C40" s="6">
        <v>369</v>
      </c>
      <c r="D40" s="30" t="s">
        <v>223</v>
      </c>
      <c r="E40" s="7" t="s">
        <v>406</v>
      </c>
      <c r="F40" s="63"/>
    </row>
    <row r="41" spans="2:7" ht="11.5" thickTop="1" thickBot="1">
      <c r="B41" s="3">
        <v>37</v>
      </c>
      <c r="C41" s="4" t="s">
        <v>224</v>
      </c>
      <c r="D41" s="4"/>
      <c r="E41" s="4" t="s">
        <v>225</v>
      </c>
      <c r="F41" s="62">
        <f>SUM(F42:F48)</f>
        <v>0</v>
      </c>
    </row>
    <row r="42" spans="2:7" ht="11" thickTop="1">
      <c r="B42" s="29"/>
      <c r="C42" s="6">
        <v>370</v>
      </c>
      <c r="D42" s="30" t="s">
        <v>226</v>
      </c>
      <c r="E42" s="7" t="s">
        <v>408</v>
      </c>
      <c r="F42" s="131"/>
    </row>
    <row r="43" spans="2:7" ht="10.5">
      <c r="B43" s="29"/>
      <c r="C43" s="6"/>
      <c r="D43" s="30" t="s">
        <v>227</v>
      </c>
      <c r="E43" s="8" t="s">
        <v>2</v>
      </c>
      <c r="F43" s="63"/>
      <c r="G43" s="61"/>
    </row>
    <row r="44" spans="2:7" ht="10.5">
      <c r="B44" s="29"/>
      <c r="C44" s="15">
        <v>371</v>
      </c>
      <c r="D44" s="32" t="s">
        <v>228</v>
      </c>
      <c r="E44" s="8" t="s">
        <v>450</v>
      </c>
      <c r="F44" s="65"/>
    </row>
    <row r="45" spans="2:7" ht="10.5">
      <c r="B45" s="29"/>
      <c r="C45" s="15"/>
      <c r="D45" s="32" t="s">
        <v>229</v>
      </c>
      <c r="E45" s="32"/>
      <c r="F45" s="63"/>
    </row>
    <row r="46" spans="2:7" ht="10.5">
      <c r="B46" s="29"/>
      <c r="C46" s="6">
        <v>372</v>
      </c>
      <c r="D46" s="30" t="s">
        <v>230</v>
      </c>
      <c r="E46" s="7" t="s">
        <v>231</v>
      </c>
      <c r="F46" s="63"/>
    </row>
    <row r="47" spans="2:7" ht="10.5">
      <c r="B47" s="29"/>
      <c r="C47" s="6">
        <v>373</v>
      </c>
      <c r="D47" s="30" t="s">
        <v>232</v>
      </c>
      <c r="E47" s="120" t="s">
        <v>391</v>
      </c>
      <c r="F47" s="63"/>
    </row>
    <row r="48" spans="2:7" ht="11" thickBot="1">
      <c r="B48" s="29"/>
      <c r="C48" s="6">
        <v>379</v>
      </c>
      <c r="D48" s="30" t="s">
        <v>233</v>
      </c>
      <c r="E48" s="7" t="s">
        <v>234</v>
      </c>
      <c r="F48" s="63"/>
    </row>
    <row r="49" spans="2:6" ht="11.5" thickTop="1" thickBot="1">
      <c r="B49" s="3">
        <v>38</v>
      </c>
      <c r="C49" s="4" t="s">
        <v>235</v>
      </c>
      <c r="D49" s="4"/>
      <c r="E49" s="4" t="s">
        <v>236</v>
      </c>
      <c r="F49" s="62">
        <f>SUM(F50:F51)</f>
        <v>0</v>
      </c>
    </row>
    <row r="50" spans="2:6" ht="11" thickTop="1">
      <c r="B50" s="29"/>
      <c r="C50" s="6">
        <v>380</v>
      </c>
      <c r="D50" s="30" t="s">
        <v>237</v>
      </c>
      <c r="E50" s="7" t="s">
        <v>409</v>
      </c>
      <c r="F50" s="63"/>
    </row>
    <row r="51" spans="2:6" ht="11" thickBot="1">
      <c r="B51" s="29"/>
      <c r="C51" s="6">
        <v>381</v>
      </c>
      <c r="D51" s="30" t="s">
        <v>238</v>
      </c>
      <c r="E51" s="7" t="s">
        <v>410</v>
      </c>
      <c r="F51" s="63"/>
    </row>
    <row r="52" spans="2:6" ht="11.5" thickTop="1" thickBot="1">
      <c r="B52" s="3">
        <v>39</v>
      </c>
      <c r="C52" s="4" t="s">
        <v>239</v>
      </c>
      <c r="D52" s="4"/>
      <c r="E52" s="4" t="s">
        <v>401</v>
      </c>
      <c r="F52" s="62">
        <f>SUM(F53:F57)</f>
        <v>0</v>
      </c>
    </row>
    <row r="53" spans="2:6" ht="11" thickTop="1">
      <c r="B53" s="29"/>
      <c r="C53" s="6">
        <v>391</v>
      </c>
      <c r="D53" s="30" t="s">
        <v>240</v>
      </c>
      <c r="E53" s="7" t="s">
        <v>241</v>
      </c>
      <c r="F53" s="63"/>
    </row>
    <row r="54" spans="2:6" ht="10.5">
      <c r="B54" s="29"/>
      <c r="C54" s="6">
        <v>392</v>
      </c>
      <c r="D54" s="30" t="s">
        <v>87</v>
      </c>
      <c r="E54" s="7" t="s">
        <v>88</v>
      </c>
      <c r="F54" s="63"/>
    </row>
    <row r="55" spans="2:6" ht="10.5">
      <c r="B55" s="29"/>
      <c r="C55" s="6">
        <v>393</v>
      </c>
      <c r="D55" s="30" t="s">
        <v>242</v>
      </c>
      <c r="E55" s="7" t="s">
        <v>399</v>
      </c>
      <c r="F55" s="63"/>
    </row>
    <row r="56" spans="2:6" ht="10.5">
      <c r="B56" s="29"/>
      <c r="C56" s="6">
        <v>397</v>
      </c>
      <c r="D56" s="30" t="s">
        <v>243</v>
      </c>
      <c r="E56" s="7" t="s">
        <v>400</v>
      </c>
      <c r="F56" s="63"/>
    </row>
    <row r="57" spans="2:6" ht="11" thickBot="1">
      <c r="B57" s="29"/>
      <c r="C57" s="6">
        <v>399</v>
      </c>
      <c r="D57" s="30" t="s">
        <v>244</v>
      </c>
      <c r="E57" s="7" t="s">
        <v>401</v>
      </c>
      <c r="F57" s="63"/>
    </row>
    <row r="58" spans="2:6" ht="11" thickBot="1">
      <c r="B58" s="52">
        <v>3</v>
      </c>
      <c r="C58" s="56" t="s">
        <v>245</v>
      </c>
      <c r="D58" s="56"/>
      <c r="E58" s="56" t="s">
        <v>398</v>
      </c>
      <c r="F58" s="66">
        <f>+F6</f>
        <v>59322957.909999996</v>
      </c>
    </row>
    <row r="59" spans="2:6" s="48" customFormat="1" ht="11" thickBot="1">
      <c r="B59" s="46"/>
      <c r="C59" s="47"/>
      <c r="D59" s="47"/>
      <c r="E59" s="47"/>
      <c r="F59" s="67"/>
    </row>
    <row r="60" spans="2:6" ht="11" thickBot="1">
      <c r="B60" s="52">
        <v>4</v>
      </c>
      <c r="C60" s="54" t="s">
        <v>246</v>
      </c>
      <c r="D60" s="54"/>
      <c r="E60" s="54" t="s">
        <v>421</v>
      </c>
      <c r="F60" s="66">
        <v>0</v>
      </c>
    </row>
    <row r="61" spans="2:6" ht="11" thickBot="1">
      <c r="B61" s="50">
        <v>40</v>
      </c>
      <c r="C61" s="55" t="s">
        <v>186</v>
      </c>
      <c r="D61" s="55"/>
      <c r="E61" s="11" t="s">
        <v>394</v>
      </c>
      <c r="F61" s="68">
        <f>SUM(F62:F66)</f>
        <v>0</v>
      </c>
    </row>
    <row r="62" spans="2:6" ht="10.5" customHeight="1" thickTop="1">
      <c r="B62" s="29"/>
      <c r="C62" s="6">
        <v>400</v>
      </c>
      <c r="D62" s="30" t="s">
        <v>247</v>
      </c>
      <c r="E62" s="7" t="s">
        <v>422</v>
      </c>
      <c r="F62" s="63"/>
    </row>
    <row r="63" spans="2:6" ht="10.5" customHeight="1">
      <c r="B63" s="29"/>
      <c r="C63" s="6">
        <v>405</v>
      </c>
      <c r="D63" s="30" t="s">
        <v>248</v>
      </c>
      <c r="E63" s="7" t="s">
        <v>423</v>
      </c>
      <c r="F63" s="63"/>
    </row>
    <row r="64" spans="2:6" ht="10.5" customHeight="1">
      <c r="B64" s="29"/>
      <c r="C64" s="6">
        <v>407</v>
      </c>
      <c r="D64" s="30" t="s">
        <v>193</v>
      </c>
      <c r="E64" s="7" t="s">
        <v>194</v>
      </c>
      <c r="F64" s="63"/>
    </row>
    <row r="65" spans="2:6" ht="10.5" customHeight="1">
      <c r="B65" s="29"/>
      <c r="C65" s="15">
        <v>408</v>
      </c>
      <c r="D65" s="32" t="s">
        <v>195</v>
      </c>
      <c r="E65" s="8" t="s">
        <v>424</v>
      </c>
      <c r="F65" s="63"/>
    </row>
    <row r="66" spans="2:6" ht="10.5" customHeight="1" thickBot="1">
      <c r="B66" s="29"/>
      <c r="C66" s="6">
        <v>409</v>
      </c>
      <c r="D66" s="30" t="s">
        <v>196</v>
      </c>
      <c r="E66" s="19" t="s">
        <v>197</v>
      </c>
      <c r="F66" s="63"/>
    </row>
    <row r="67" spans="2:6" ht="11.5" thickTop="1" thickBot="1">
      <c r="B67" s="3">
        <v>42</v>
      </c>
      <c r="C67" s="4" t="s">
        <v>198</v>
      </c>
      <c r="D67" s="4"/>
      <c r="E67" s="13" t="s">
        <v>396</v>
      </c>
      <c r="F67" s="62">
        <f>SUM(F68:F72)</f>
        <v>0</v>
      </c>
    </row>
    <row r="68" spans="2:6" ht="10.5" customHeight="1" thickTop="1">
      <c r="B68" s="29"/>
      <c r="C68" s="6">
        <v>420</v>
      </c>
      <c r="D68" s="30" t="s">
        <v>199</v>
      </c>
      <c r="E68" s="7" t="s">
        <v>200</v>
      </c>
      <c r="F68" s="63"/>
    </row>
    <row r="69" spans="2:6" ht="10.5" customHeight="1">
      <c r="B69" s="29"/>
      <c r="C69" s="6">
        <v>421</v>
      </c>
      <c r="D69" s="30" t="s">
        <v>201</v>
      </c>
      <c r="E69" s="7" t="s">
        <v>202</v>
      </c>
      <c r="F69" s="63"/>
    </row>
    <row r="70" spans="2:6" ht="10.5" customHeight="1">
      <c r="B70" s="29"/>
      <c r="C70" s="15">
        <v>422</v>
      </c>
      <c r="D70" s="32" t="s">
        <v>203</v>
      </c>
      <c r="E70" s="8" t="s">
        <v>415</v>
      </c>
      <c r="F70" s="63"/>
    </row>
    <row r="71" spans="2:6" ht="10.5" customHeight="1">
      <c r="B71" s="29"/>
      <c r="C71" s="6">
        <v>426</v>
      </c>
      <c r="D71" s="30" t="s">
        <v>204</v>
      </c>
      <c r="E71" s="7" t="s">
        <v>397</v>
      </c>
      <c r="F71" s="63"/>
    </row>
    <row r="72" spans="2:6" ht="10.5" customHeight="1" thickBot="1">
      <c r="B72" s="29"/>
      <c r="C72" s="6">
        <v>429</v>
      </c>
      <c r="D72" s="30" t="s">
        <v>205</v>
      </c>
      <c r="E72" s="33" t="s">
        <v>417</v>
      </c>
      <c r="F72" s="63"/>
    </row>
    <row r="73" spans="2:6" ht="11.5" thickTop="1" thickBot="1">
      <c r="B73" s="3">
        <v>43</v>
      </c>
      <c r="C73" s="9" t="s">
        <v>206</v>
      </c>
      <c r="D73" s="9"/>
      <c r="E73" s="13" t="s">
        <v>418</v>
      </c>
      <c r="F73" s="62">
        <f>SUM(F74:F80)</f>
        <v>0</v>
      </c>
    </row>
    <row r="74" spans="2:6" ht="11" thickTop="1">
      <c r="B74" s="29"/>
      <c r="C74" s="6">
        <v>431</v>
      </c>
      <c r="D74" s="30" t="s">
        <v>207</v>
      </c>
      <c r="E74" s="7" t="s">
        <v>411</v>
      </c>
      <c r="F74" s="63"/>
    </row>
    <row r="75" spans="2:6" ht="10.5">
      <c r="B75" s="29"/>
      <c r="C75" s="6">
        <v>432</v>
      </c>
      <c r="D75" s="30" t="s">
        <v>249</v>
      </c>
      <c r="E75" s="7" t="s">
        <v>412</v>
      </c>
      <c r="F75" s="63"/>
    </row>
    <row r="76" spans="2:6" ht="10.5">
      <c r="B76" s="29"/>
      <c r="C76" s="6">
        <v>433</v>
      </c>
      <c r="D76" s="30" t="s">
        <v>209</v>
      </c>
      <c r="E76" s="7" t="s">
        <v>413</v>
      </c>
      <c r="F76" s="63"/>
    </row>
    <row r="77" spans="2:6" ht="10.5">
      <c r="B77" s="29"/>
      <c r="C77" s="6">
        <v>436</v>
      </c>
      <c r="D77" s="30" t="s">
        <v>211</v>
      </c>
      <c r="E77" s="7" t="s">
        <v>418</v>
      </c>
      <c r="F77" s="63"/>
    </row>
    <row r="78" spans="2:6" ht="10.5">
      <c r="B78" s="29"/>
      <c r="C78" s="15">
        <v>437</v>
      </c>
      <c r="D78" s="32" t="s">
        <v>212</v>
      </c>
      <c r="E78" s="8" t="s">
        <v>425</v>
      </c>
      <c r="F78" s="63"/>
    </row>
    <row r="79" spans="2:6" ht="10.5">
      <c r="B79" s="29"/>
      <c r="C79" s="6">
        <v>438</v>
      </c>
      <c r="D79" s="30" t="s">
        <v>250</v>
      </c>
      <c r="E79" s="7" t="s">
        <v>426</v>
      </c>
      <c r="F79" s="63"/>
    </row>
    <row r="80" spans="2:6" ht="11" thickBot="1">
      <c r="B80" s="29"/>
      <c r="C80" s="6"/>
      <c r="D80" s="30" t="s">
        <v>251</v>
      </c>
      <c r="E80" s="30"/>
      <c r="F80" s="63"/>
    </row>
    <row r="81" spans="2:6" ht="11.5" thickTop="1" thickBot="1">
      <c r="B81" s="3">
        <v>44</v>
      </c>
      <c r="C81" s="9" t="s">
        <v>213</v>
      </c>
      <c r="D81" s="9"/>
      <c r="E81" s="9" t="s">
        <v>252</v>
      </c>
      <c r="F81" s="62">
        <f>SUM(F82:F83)</f>
        <v>0</v>
      </c>
    </row>
    <row r="82" spans="2:6" ht="11" thickTop="1">
      <c r="B82" s="29"/>
      <c r="C82" s="6">
        <v>440</v>
      </c>
      <c r="D82" s="30" t="s">
        <v>214</v>
      </c>
      <c r="E82" s="30" t="s">
        <v>389</v>
      </c>
      <c r="F82" s="63"/>
    </row>
    <row r="83" spans="2:6" ht="11" thickBot="1">
      <c r="B83" s="29"/>
      <c r="C83" s="6">
        <v>449</v>
      </c>
      <c r="D83" s="30" t="s">
        <v>215</v>
      </c>
      <c r="E83" s="30" t="s">
        <v>390</v>
      </c>
      <c r="F83" s="63"/>
    </row>
    <row r="84" spans="2:6" ht="11.5" thickTop="1" thickBot="1">
      <c r="B84" s="3">
        <v>47</v>
      </c>
      <c r="C84" s="9" t="s">
        <v>224</v>
      </c>
      <c r="D84" s="9"/>
      <c r="E84" s="13" t="s">
        <v>253</v>
      </c>
      <c r="F84" s="62">
        <f>SUM(F85:F86)</f>
        <v>0</v>
      </c>
    </row>
    <row r="85" spans="2:6" ht="11" thickTop="1">
      <c r="B85" s="29"/>
      <c r="C85" s="6">
        <v>472</v>
      </c>
      <c r="D85" s="30" t="s">
        <v>230</v>
      </c>
      <c r="E85" s="7" t="s">
        <v>254</v>
      </c>
      <c r="F85" s="63"/>
    </row>
    <row r="86" spans="2:6" ht="11" thickBot="1">
      <c r="B86" s="29"/>
      <c r="C86" s="6">
        <v>479</v>
      </c>
      <c r="D86" s="30" t="s">
        <v>233</v>
      </c>
      <c r="E86" s="19" t="s">
        <v>255</v>
      </c>
      <c r="F86" s="63"/>
    </row>
    <row r="87" spans="2:6" ht="11.5" thickTop="1" thickBot="1">
      <c r="B87" s="3">
        <v>48</v>
      </c>
      <c r="C87" s="9" t="s">
        <v>256</v>
      </c>
      <c r="D87" s="9"/>
      <c r="E87" s="11" t="s">
        <v>427</v>
      </c>
      <c r="F87" s="62">
        <f>SUM(F88:F89)</f>
        <v>0</v>
      </c>
    </row>
    <row r="88" spans="2:6" ht="11" thickTop="1">
      <c r="B88" s="29"/>
      <c r="C88" s="6">
        <v>480</v>
      </c>
      <c r="D88" s="30" t="s">
        <v>257</v>
      </c>
      <c r="E88" s="7" t="s">
        <v>427</v>
      </c>
      <c r="F88" s="63"/>
    </row>
    <row r="89" spans="2:6" ht="11" thickBot="1">
      <c r="B89" s="29"/>
      <c r="C89" s="6">
        <v>481</v>
      </c>
      <c r="D89" s="30" t="s">
        <v>238</v>
      </c>
      <c r="E89" s="19" t="s">
        <v>410</v>
      </c>
      <c r="F89" s="63"/>
    </row>
    <row r="90" spans="2:6" ht="11.5" thickTop="1" thickBot="1">
      <c r="B90" s="3">
        <v>49</v>
      </c>
      <c r="C90" s="9" t="s">
        <v>258</v>
      </c>
      <c r="D90" s="9"/>
      <c r="E90" s="11" t="s">
        <v>428</v>
      </c>
      <c r="F90" s="62">
        <f>SUM(F91:F94)</f>
        <v>0</v>
      </c>
    </row>
    <row r="91" spans="2:6" ht="11" thickTop="1">
      <c r="B91" s="29"/>
      <c r="C91" s="6">
        <v>492</v>
      </c>
      <c r="D91" s="30" t="s">
        <v>259</v>
      </c>
      <c r="E91" s="7" t="s">
        <v>429</v>
      </c>
      <c r="F91" s="63"/>
    </row>
    <row r="92" spans="2:6" ht="10.5">
      <c r="B92" s="29"/>
      <c r="C92" s="6"/>
      <c r="D92" s="30" t="s">
        <v>260</v>
      </c>
      <c r="E92" s="7" t="s">
        <v>2</v>
      </c>
      <c r="F92" s="63"/>
    </row>
    <row r="93" spans="2:6" ht="10.5">
      <c r="B93" s="29"/>
      <c r="C93" s="6">
        <v>493</v>
      </c>
      <c r="D93" s="30" t="s">
        <v>261</v>
      </c>
      <c r="E93" s="7" t="s">
        <v>430</v>
      </c>
      <c r="F93" s="63"/>
    </row>
    <row r="94" spans="2:6" ht="11" thickBot="1">
      <c r="B94" s="29"/>
      <c r="C94" s="6">
        <v>499</v>
      </c>
      <c r="D94" s="30" t="s">
        <v>262</v>
      </c>
      <c r="E94" s="7" t="s">
        <v>428</v>
      </c>
      <c r="F94" s="63"/>
    </row>
    <row r="95" spans="2:6" ht="11.5" thickTop="1" thickBot="1">
      <c r="B95" s="2">
        <v>4</v>
      </c>
      <c r="C95" s="28" t="s">
        <v>263</v>
      </c>
      <c r="D95" s="28"/>
      <c r="E95" s="28" t="s">
        <v>431</v>
      </c>
      <c r="F95" s="69">
        <v>0</v>
      </c>
    </row>
    <row r="96" spans="2:6" ht="11.5" thickTop="1" thickBot="1">
      <c r="B96" s="2">
        <v>5</v>
      </c>
      <c r="C96" s="28" t="s">
        <v>264</v>
      </c>
      <c r="D96" s="28"/>
      <c r="E96" s="28" t="s">
        <v>432</v>
      </c>
      <c r="F96" s="69">
        <f>+F97+F101+F107+F113+F115+F117</f>
        <v>9245815.7100000009</v>
      </c>
    </row>
    <row r="97" spans="2:8" ht="11.5" thickTop="1" thickBot="1">
      <c r="B97" s="3">
        <v>50</v>
      </c>
      <c r="C97" s="9" t="s">
        <v>265</v>
      </c>
      <c r="D97" s="9"/>
      <c r="E97" s="13" t="s">
        <v>433</v>
      </c>
      <c r="F97" s="62">
        <f>SUM(F98:F100)</f>
        <v>200000</v>
      </c>
    </row>
    <row r="98" spans="2:8" ht="11" thickTop="1">
      <c r="B98" s="29"/>
      <c r="C98" s="6">
        <v>500</v>
      </c>
      <c r="D98" s="30" t="s">
        <v>266</v>
      </c>
      <c r="E98" s="7" t="s">
        <v>267</v>
      </c>
      <c r="F98" s="63">
        <v>200000</v>
      </c>
    </row>
    <row r="99" spans="2:8" ht="10.5">
      <c r="B99" s="29"/>
      <c r="C99" s="15">
        <v>501</v>
      </c>
      <c r="D99" s="122" t="s">
        <v>268</v>
      </c>
      <c r="E99" s="124" t="s">
        <v>269</v>
      </c>
      <c r="F99" s="123"/>
    </row>
    <row r="100" spans="2:8" ht="11" thickBot="1">
      <c r="B100" s="29"/>
      <c r="C100" s="6">
        <v>502</v>
      </c>
      <c r="D100" s="30" t="s">
        <v>359</v>
      </c>
      <c r="E100" s="121" t="s">
        <v>392</v>
      </c>
      <c r="F100" s="63"/>
    </row>
    <row r="101" spans="2:8" ht="11.5" thickTop="1" thickBot="1">
      <c r="B101" s="3">
        <v>52</v>
      </c>
      <c r="C101" s="9" t="s">
        <v>270</v>
      </c>
      <c r="D101" s="9"/>
      <c r="E101" s="13" t="s">
        <v>434</v>
      </c>
      <c r="F101" s="62">
        <f>SUM(F102:F106)</f>
        <v>8191917.9900000002</v>
      </c>
    </row>
    <row r="102" spans="2:8" ht="11" thickTop="1">
      <c r="B102" s="29"/>
      <c r="C102" s="6">
        <v>520</v>
      </c>
      <c r="D102" s="30" t="s">
        <v>271</v>
      </c>
      <c r="E102" s="7" t="s">
        <v>436</v>
      </c>
      <c r="F102" s="63">
        <v>8191917.9900000002</v>
      </c>
    </row>
    <row r="103" spans="2:8" ht="10.5">
      <c r="B103" s="29"/>
      <c r="C103" s="6">
        <v>521</v>
      </c>
      <c r="D103" s="30" t="s">
        <v>272</v>
      </c>
      <c r="E103" s="7" t="s">
        <v>435</v>
      </c>
      <c r="F103" s="63"/>
    </row>
    <row r="104" spans="2:8" ht="10.5">
      <c r="B104" s="29"/>
      <c r="C104" s="6">
        <v>522</v>
      </c>
      <c r="D104" s="30" t="s">
        <v>273</v>
      </c>
      <c r="E104" s="7" t="s">
        <v>437</v>
      </c>
      <c r="F104" s="63"/>
    </row>
    <row r="105" spans="2:8" ht="10.5">
      <c r="B105" s="29"/>
      <c r="C105" s="6">
        <v>523</v>
      </c>
      <c r="D105" s="30" t="s">
        <v>274</v>
      </c>
      <c r="E105" s="7" t="s">
        <v>438</v>
      </c>
      <c r="F105" s="63"/>
    </row>
    <row r="106" spans="2:8" ht="11" thickBot="1">
      <c r="B106" s="29"/>
      <c r="C106" s="6">
        <v>529</v>
      </c>
      <c r="D106" s="30" t="s">
        <v>275</v>
      </c>
      <c r="E106" s="19" t="s">
        <v>439</v>
      </c>
      <c r="F106" s="63"/>
    </row>
    <row r="107" spans="2:8" ht="11.5" thickTop="1" thickBot="1">
      <c r="B107" s="3">
        <v>54</v>
      </c>
      <c r="C107" s="9" t="s">
        <v>276</v>
      </c>
      <c r="D107" s="9"/>
      <c r="E107" s="13" t="s">
        <v>440</v>
      </c>
      <c r="F107" s="62">
        <f>SUM(F108:F112)</f>
        <v>0</v>
      </c>
    </row>
    <row r="108" spans="2:8" ht="11" thickTop="1">
      <c r="B108" s="29"/>
      <c r="C108" s="6">
        <v>540</v>
      </c>
      <c r="D108" s="30" t="s">
        <v>277</v>
      </c>
      <c r="E108" s="7" t="s">
        <v>441</v>
      </c>
      <c r="F108" s="63"/>
    </row>
    <row r="109" spans="2:8" ht="10.5">
      <c r="B109" s="29"/>
      <c r="C109" s="6">
        <v>541</v>
      </c>
      <c r="D109" s="30" t="s">
        <v>278</v>
      </c>
      <c r="E109" s="7" t="s">
        <v>279</v>
      </c>
      <c r="F109" s="63"/>
    </row>
    <row r="110" spans="2:8" ht="10.5">
      <c r="B110" s="29"/>
      <c r="C110" s="6">
        <v>542</v>
      </c>
      <c r="D110" s="30" t="s">
        <v>280</v>
      </c>
      <c r="E110" s="7" t="s">
        <v>442</v>
      </c>
      <c r="F110" s="63"/>
    </row>
    <row r="111" spans="2:8" ht="10.5">
      <c r="B111" s="29"/>
      <c r="C111" s="6">
        <v>548</v>
      </c>
      <c r="D111" s="30" t="s">
        <v>281</v>
      </c>
      <c r="E111" s="7" t="s">
        <v>443</v>
      </c>
      <c r="F111" s="63"/>
    </row>
    <row r="112" spans="2:8" ht="11" thickBot="1">
      <c r="B112" s="29"/>
      <c r="C112" s="6">
        <v>549</v>
      </c>
      <c r="D112" s="30" t="s">
        <v>282</v>
      </c>
      <c r="E112" s="19" t="s">
        <v>444</v>
      </c>
      <c r="F112" s="63"/>
      <c r="H112" s="61"/>
    </row>
    <row r="113" spans="2:8" ht="11.5" thickTop="1" thickBot="1">
      <c r="B113" s="3">
        <v>57</v>
      </c>
      <c r="C113" s="9" t="s">
        <v>283</v>
      </c>
      <c r="D113" s="9"/>
      <c r="E113" s="13" t="s">
        <v>284</v>
      </c>
      <c r="F113" s="62">
        <f>+F114</f>
        <v>0</v>
      </c>
    </row>
    <row r="114" spans="2:8" ht="11.5" thickTop="1" thickBot="1">
      <c r="B114" s="29"/>
      <c r="C114" s="6">
        <v>570</v>
      </c>
      <c r="D114" s="30" t="s">
        <v>283</v>
      </c>
      <c r="E114" s="34" t="s">
        <v>284</v>
      </c>
      <c r="F114" s="63"/>
    </row>
    <row r="115" spans="2:8" ht="11.5" thickTop="1" thickBot="1">
      <c r="B115" s="75">
        <v>58</v>
      </c>
      <c r="C115" s="76" t="s">
        <v>285</v>
      </c>
      <c r="D115" s="76"/>
      <c r="E115" s="35" t="s">
        <v>287</v>
      </c>
      <c r="F115" s="62">
        <f>+F116</f>
        <v>-1407543.29</v>
      </c>
    </row>
    <row r="116" spans="2:8" ht="11.5" thickTop="1" thickBot="1">
      <c r="B116" s="77"/>
      <c r="C116" s="15">
        <v>580</v>
      </c>
      <c r="D116" s="78" t="s">
        <v>286</v>
      </c>
      <c r="E116" s="35" t="s">
        <v>287</v>
      </c>
      <c r="F116" s="65">
        <v>-1407543.29</v>
      </c>
    </row>
    <row r="117" spans="2:8" ht="11.5" thickTop="1" thickBot="1">
      <c r="B117" s="3">
        <v>59</v>
      </c>
      <c r="C117" s="9" t="s">
        <v>288</v>
      </c>
      <c r="D117" s="9"/>
      <c r="E117" s="11" t="s">
        <v>289</v>
      </c>
      <c r="F117" s="62">
        <f>SUM(F118:F119)</f>
        <v>2261441.0099999998</v>
      </c>
    </row>
    <row r="118" spans="2:8" ht="11.5" thickTop="1" thickBot="1">
      <c r="B118" s="29"/>
      <c r="C118" s="6">
        <v>590</v>
      </c>
      <c r="D118" s="118" t="s">
        <v>290</v>
      </c>
      <c r="E118" s="119" t="s">
        <v>289</v>
      </c>
      <c r="F118" s="136">
        <v>2261441.0099999998</v>
      </c>
    </row>
    <row r="119" spans="2:8" ht="11.5" thickTop="1" thickBot="1">
      <c r="B119" s="29"/>
      <c r="C119" s="10">
        <v>591</v>
      </c>
      <c r="D119" s="10" t="s">
        <v>291</v>
      </c>
      <c r="E119" s="35" t="s">
        <v>292</v>
      </c>
      <c r="F119" s="65"/>
    </row>
    <row r="120" spans="2:8" ht="11.5" thickTop="1" thickBot="1">
      <c r="B120" s="2">
        <v>5</v>
      </c>
      <c r="C120" s="16" t="s">
        <v>293</v>
      </c>
      <c r="D120" s="16"/>
      <c r="E120" s="16" t="s">
        <v>445</v>
      </c>
      <c r="F120" s="69">
        <f>+F96</f>
        <v>9245815.7100000009</v>
      </c>
    </row>
    <row r="121" spans="2:8" ht="11.5" thickTop="1" thickBot="1">
      <c r="B121" s="36"/>
      <c r="C121" s="37" t="s">
        <v>294</v>
      </c>
      <c r="D121" s="37"/>
      <c r="E121" s="37" t="s">
        <v>446</v>
      </c>
      <c r="F121" s="70">
        <f>+F120+F95+F58</f>
        <v>68568773.620000005</v>
      </c>
    </row>
    <row r="122" spans="2:8" ht="10.5" thickTop="1"/>
    <row r="124" spans="2:8" ht="10.5">
      <c r="H124" s="67"/>
    </row>
    <row r="125" spans="2:8" ht="10.5">
      <c r="E125" s="117"/>
    </row>
  </sheetData>
  <mergeCells count="2">
    <mergeCell ref="B2:F2"/>
    <mergeCell ref="B3:F3"/>
  </mergeCells>
  <phoneticPr fontId="2" type="noConversion"/>
  <pageMargins left="0" right="0" top="0.59055118110236227" bottom="0.59055118110236227" header="0.51181102362204722" footer="0.51181102362204722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K63"/>
  <sheetViews>
    <sheetView tabSelected="1" zoomScaleNormal="100" workbookViewId="0"/>
  </sheetViews>
  <sheetFormatPr defaultColWidth="9.1796875" defaultRowHeight="10"/>
  <cols>
    <col min="1" max="1" width="9.1796875" style="95"/>
    <col min="2" max="2" width="3" style="95" bestFit="1" customWidth="1"/>
    <col min="3" max="3" width="7.54296875" style="95" customWidth="1"/>
    <col min="4" max="4" width="28.7265625" style="95" customWidth="1"/>
    <col min="5" max="5" width="28.1796875" style="95" customWidth="1"/>
    <col min="6" max="6" width="14" style="116" bestFit="1" customWidth="1"/>
    <col min="7" max="7" width="22.1796875" style="95" bestFit="1" customWidth="1"/>
    <col min="8" max="8" width="11.26953125" style="95" bestFit="1" customWidth="1"/>
    <col min="9" max="9" width="10.453125" style="95" bestFit="1" customWidth="1"/>
    <col min="10" max="10" width="9.1796875" style="95"/>
    <col min="11" max="11" width="10.453125" style="95" bestFit="1" customWidth="1"/>
    <col min="12" max="16384" width="9.1796875" style="95"/>
  </cols>
  <sheetData>
    <row r="2" spans="2:9" ht="14">
      <c r="B2" s="137" t="s">
        <v>483</v>
      </c>
      <c r="C2" s="137"/>
      <c r="D2" s="137"/>
      <c r="E2" s="137"/>
      <c r="F2" s="137"/>
    </row>
    <row r="3" spans="2:9" ht="14">
      <c r="B3" s="137" t="s">
        <v>484</v>
      </c>
      <c r="C3" s="137"/>
      <c r="D3" s="137"/>
      <c r="E3" s="137"/>
      <c r="F3" s="137"/>
    </row>
    <row r="4" spans="2:9">
      <c r="B4" s="138"/>
      <c r="C4" s="138"/>
      <c r="D4" s="138"/>
      <c r="E4" s="138"/>
      <c r="F4" s="96"/>
    </row>
    <row r="5" spans="2:9">
      <c r="B5" s="97">
        <v>60</v>
      </c>
      <c r="C5" s="98" t="s">
        <v>295</v>
      </c>
      <c r="D5" s="98"/>
      <c r="E5" s="98" t="s">
        <v>296</v>
      </c>
      <c r="F5" s="99">
        <f>SUM(F6:F8)</f>
        <v>54655059.909999996</v>
      </c>
      <c r="H5" s="116"/>
    </row>
    <row r="6" spans="2:9">
      <c r="B6" s="100"/>
      <c r="C6" s="101">
        <v>600</v>
      </c>
      <c r="D6" s="102" t="s">
        <v>297</v>
      </c>
      <c r="E6" s="102" t="s">
        <v>298</v>
      </c>
      <c r="F6" s="103">
        <v>54655059.909999996</v>
      </c>
    </row>
    <row r="7" spans="2:9">
      <c r="B7" s="100"/>
      <c r="C7" s="101">
        <v>601</v>
      </c>
      <c r="D7" s="102" t="s">
        <v>299</v>
      </c>
      <c r="E7" s="102" t="s">
        <v>300</v>
      </c>
      <c r="F7" s="103"/>
    </row>
    <row r="8" spans="2:9">
      <c r="B8" s="100"/>
      <c r="C8" s="101">
        <v>602</v>
      </c>
      <c r="D8" s="102" t="s">
        <v>301</v>
      </c>
      <c r="E8" s="102" t="s">
        <v>302</v>
      </c>
      <c r="F8" s="103"/>
    </row>
    <row r="9" spans="2:9">
      <c r="B9" s="104">
        <v>61</v>
      </c>
      <c r="C9" s="105" t="s">
        <v>303</v>
      </c>
      <c r="D9" s="105"/>
      <c r="E9" s="105" t="s">
        <v>454</v>
      </c>
      <c r="F9" s="106">
        <f>SUM(F10++F11+F12)</f>
        <v>-107628.01</v>
      </c>
      <c r="G9" s="116"/>
      <c r="H9" s="116"/>
    </row>
    <row r="10" spans="2:9">
      <c r="B10" s="107"/>
      <c r="C10" s="108">
        <v>610</v>
      </c>
      <c r="D10" s="109" t="s">
        <v>304</v>
      </c>
      <c r="E10" s="109" t="s">
        <v>451</v>
      </c>
      <c r="F10" s="110">
        <v>-107628.01</v>
      </c>
    </row>
    <row r="11" spans="2:9">
      <c r="B11" s="107"/>
      <c r="C11" s="108">
        <v>611</v>
      </c>
      <c r="D11" s="109" t="s">
        <v>305</v>
      </c>
      <c r="E11" s="109" t="s">
        <v>452</v>
      </c>
      <c r="F11" s="110"/>
    </row>
    <row r="12" spans="2:9" ht="10.5" thickBot="1">
      <c r="B12" s="107"/>
      <c r="C12" s="108">
        <v>612</v>
      </c>
      <c r="D12" s="109" t="s">
        <v>306</v>
      </c>
      <c r="E12" s="109" t="s">
        <v>453</v>
      </c>
      <c r="F12" s="110"/>
    </row>
    <row r="13" spans="2:9" ht="11" thickTop="1" thickBot="1">
      <c r="B13" s="111"/>
      <c r="C13" s="112" t="s">
        <v>307</v>
      </c>
      <c r="D13" s="112"/>
      <c r="E13" s="112" t="s">
        <v>308</v>
      </c>
      <c r="F13" s="113">
        <f>+F5+F9</f>
        <v>54547431.899999999</v>
      </c>
      <c r="G13" s="116"/>
    </row>
    <row r="14" spans="2:9" ht="10.5" thickTop="1">
      <c r="B14" s="104">
        <v>62</v>
      </c>
      <c r="C14" s="105" t="s">
        <v>309</v>
      </c>
      <c r="D14" s="105"/>
      <c r="E14" s="105" t="s">
        <v>455</v>
      </c>
      <c r="F14" s="106">
        <f>+F16+F17</f>
        <v>-43643841.560000002</v>
      </c>
    </row>
    <row r="15" spans="2:9">
      <c r="B15" s="107"/>
      <c r="C15" s="108">
        <v>620</v>
      </c>
      <c r="D15" s="109" t="s">
        <v>310</v>
      </c>
      <c r="E15" s="109" t="s">
        <v>456</v>
      </c>
      <c r="F15" s="110"/>
    </row>
    <row r="16" spans="2:9">
      <c r="B16" s="107"/>
      <c r="C16" s="108">
        <v>621</v>
      </c>
      <c r="D16" s="109" t="s">
        <v>311</v>
      </c>
      <c r="E16" s="109" t="s">
        <v>457</v>
      </c>
      <c r="F16" s="110">
        <v>-43394674.670000002</v>
      </c>
      <c r="G16" s="116"/>
      <c r="I16" s="116"/>
    </row>
    <row r="17" spans="2:8">
      <c r="B17" s="107"/>
      <c r="C17" s="108">
        <v>622</v>
      </c>
      <c r="D17" s="109" t="s">
        <v>312</v>
      </c>
      <c r="E17" s="109" t="s">
        <v>458</v>
      </c>
      <c r="F17" s="110">
        <v>-249166.89</v>
      </c>
    </row>
    <row r="18" spans="2:8" ht="10.5" thickBot="1">
      <c r="B18" s="107"/>
      <c r="C18" s="108">
        <v>623</v>
      </c>
      <c r="D18" s="109" t="s">
        <v>313</v>
      </c>
      <c r="E18" s="109" t="s">
        <v>459</v>
      </c>
      <c r="F18" s="110"/>
    </row>
    <row r="19" spans="2:8" ht="11" thickTop="1" thickBot="1">
      <c r="B19" s="111"/>
      <c r="C19" s="112" t="s">
        <v>314</v>
      </c>
      <c r="D19" s="112"/>
      <c r="E19" s="112" t="s">
        <v>315</v>
      </c>
      <c r="F19" s="113">
        <f>SUM(F13+F14)</f>
        <v>10903590.339999996</v>
      </c>
      <c r="G19" s="116"/>
      <c r="H19" s="116"/>
    </row>
    <row r="20" spans="2:8" ht="10.5" thickTop="1">
      <c r="B20" s="104">
        <v>63</v>
      </c>
      <c r="C20" s="105" t="s">
        <v>316</v>
      </c>
      <c r="D20" s="105"/>
      <c r="E20" s="105" t="s">
        <v>460</v>
      </c>
      <c r="F20" s="99">
        <f>SUM(F21:F23)</f>
        <v>-2985701.04</v>
      </c>
    </row>
    <row r="21" spans="2:8">
      <c r="B21" s="107"/>
      <c r="C21" s="108">
        <v>630</v>
      </c>
      <c r="D21" s="109" t="s">
        <v>317</v>
      </c>
      <c r="E21" s="109" t="s">
        <v>461</v>
      </c>
      <c r="F21" s="110"/>
      <c r="G21" s="116"/>
    </row>
    <row r="22" spans="2:8">
      <c r="B22" s="107"/>
      <c r="C22" s="108">
        <v>631</v>
      </c>
      <c r="D22" s="109" t="s">
        <v>318</v>
      </c>
      <c r="E22" s="109" t="s">
        <v>462</v>
      </c>
      <c r="F22" s="110">
        <v>-570409.03</v>
      </c>
    </row>
    <row r="23" spans="2:8" ht="10.5" thickBot="1">
      <c r="B23" s="107"/>
      <c r="C23" s="108">
        <v>632</v>
      </c>
      <c r="D23" s="109" t="s">
        <v>319</v>
      </c>
      <c r="E23" s="109" t="s">
        <v>463</v>
      </c>
      <c r="F23" s="110">
        <v>-2415292.0099999998</v>
      </c>
    </row>
    <row r="24" spans="2:8" ht="11" thickTop="1" thickBot="1">
      <c r="B24" s="111"/>
      <c r="C24" s="112" t="s">
        <v>320</v>
      </c>
      <c r="D24" s="112"/>
      <c r="E24" s="112" t="s">
        <v>321</v>
      </c>
      <c r="F24" s="113">
        <f>F19+F20</f>
        <v>7917889.2999999961</v>
      </c>
      <c r="G24" s="116"/>
    </row>
    <row r="25" spans="2:8" ht="10.5" thickTop="1">
      <c r="B25" s="97">
        <v>64</v>
      </c>
      <c r="C25" s="98" t="s">
        <v>322</v>
      </c>
      <c r="D25" s="98"/>
      <c r="E25" s="98" t="s">
        <v>464</v>
      </c>
      <c r="F25" s="99">
        <f>+F28+F32+F34</f>
        <v>543595.92000000004</v>
      </c>
      <c r="G25" s="116"/>
    </row>
    <row r="26" spans="2:8">
      <c r="B26" s="100"/>
      <c r="C26" s="101">
        <v>640</v>
      </c>
      <c r="D26" s="102" t="s">
        <v>323</v>
      </c>
      <c r="E26" s="102" t="s">
        <v>360</v>
      </c>
      <c r="F26" s="103"/>
      <c r="G26" s="116"/>
    </row>
    <row r="27" spans="2:8">
      <c r="B27" s="100"/>
      <c r="C27" s="101">
        <v>641</v>
      </c>
      <c r="D27" s="102" t="s">
        <v>324</v>
      </c>
      <c r="E27" s="102" t="s">
        <v>361</v>
      </c>
      <c r="F27" s="103"/>
    </row>
    <row r="28" spans="2:8">
      <c r="B28" s="100"/>
      <c r="C28" s="101">
        <v>642</v>
      </c>
      <c r="D28" s="102" t="s">
        <v>325</v>
      </c>
      <c r="E28" s="102" t="s">
        <v>326</v>
      </c>
      <c r="F28" s="103">
        <v>495285.46</v>
      </c>
    </row>
    <row r="29" spans="2:8">
      <c r="B29" s="100"/>
      <c r="C29" s="101">
        <v>643</v>
      </c>
      <c r="D29" s="102" t="s">
        <v>327</v>
      </c>
      <c r="E29" s="102" t="s">
        <v>362</v>
      </c>
      <c r="F29" s="103"/>
    </row>
    <row r="30" spans="2:8">
      <c r="B30" s="100"/>
      <c r="C30" s="101">
        <v>644</v>
      </c>
      <c r="D30" s="102" t="s">
        <v>328</v>
      </c>
      <c r="E30" s="102" t="s">
        <v>363</v>
      </c>
      <c r="F30" s="103"/>
    </row>
    <row r="31" spans="2:8">
      <c r="B31" s="100"/>
      <c r="C31" s="101">
        <v>645</v>
      </c>
      <c r="D31" s="102" t="s">
        <v>329</v>
      </c>
      <c r="E31" s="102" t="s">
        <v>364</v>
      </c>
      <c r="F31" s="103"/>
    </row>
    <row r="32" spans="2:8">
      <c r="B32" s="100"/>
      <c r="C32" s="101">
        <v>646</v>
      </c>
      <c r="D32" s="102" t="s">
        <v>330</v>
      </c>
      <c r="E32" s="102" t="s">
        <v>365</v>
      </c>
      <c r="F32" s="103">
        <v>48310.46</v>
      </c>
      <c r="G32" s="116"/>
    </row>
    <row r="33" spans="2:7">
      <c r="B33" s="100"/>
      <c r="C33" s="101">
        <v>647</v>
      </c>
      <c r="D33" s="102" t="s">
        <v>331</v>
      </c>
      <c r="E33" s="102" t="s">
        <v>366</v>
      </c>
      <c r="F33" s="103"/>
    </row>
    <row r="34" spans="2:7">
      <c r="B34" s="100"/>
      <c r="C34" s="101">
        <v>649</v>
      </c>
      <c r="D34" s="102" t="s">
        <v>332</v>
      </c>
      <c r="E34" s="102" t="s">
        <v>367</v>
      </c>
      <c r="F34" s="103"/>
    </row>
    <row r="35" spans="2:7">
      <c r="B35" s="104">
        <v>65</v>
      </c>
      <c r="C35" s="105" t="s">
        <v>333</v>
      </c>
      <c r="D35" s="105"/>
      <c r="E35" s="105" t="s">
        <v>465</v>
      </c>
      <c r="F35" s="106">
        <f>SUM(F36:F41)</f>
        <v>-51871.74</v>
      </c>
    </row>
    <row r="36" spans="2:7">
      <c r="B36" s="107"/>
      <c r="C36" s="108">
        <v>653</v>
      </c>
      <c r="D36" s="109" t="s">
        <v>334</v>
      </c>
      <c r="E36" s="109" t="s">
        <v>466</v>
      </c>
      <c r="F36" s="110"/>
    </row>
    <row r="37" spans="2:7">
      <c r="B37" s="107"/>
      <c r="C37" s="108">
        <v>654</v>
      </c>
      <c r="D37" s="109" t="s">
        <v>335</v>
      </c>
      <c r="E37" s="109" t="s">
        <v>467</v>
      </c>
      <c r="F37" s="110"/>
    </row>
    <row r="38" spans="2:7">
      <c r="B38" s="107"/>
      <c r="C38" s="108">
        <v>655</v>
      </c>
      <c r="D38" s="109" t="s">
        <v>336</v>
      </c>
      <c r="E38" s="109" t="s">
        <v>468</v>
      </c>
      <c r="F38" s="110"/>
    </row>
    <row r="39" spans="2:7">
      <c r="B39" s="107"/>
      <c r="C39" s="108">
        <v>656</v>
      </c>
      <c r="D39" s="109" t="s">
        <v>337</v>
      </c>
      <c r="E39" s="109" t="s">
        <v>469</v>
      </c>
      <c r="F39" s="110">
        <v>-51871.74</v>
      </c>
    </row>
    <row r="40" spans="2:7">
      <c r="B40" s="107"/>
      <c r="C40" s="108">
        <v>657</v>
      </c>
      <c r="D40" s="109" t="s">
        <v>338</v>
      </c>
      <c r="E40" s="109" t="s">
        <v>470</v>
      </c>
      <c r="F40" s="110"/>
    </row>
    <row r="41" spans="2:7">
      <c r="B41" s="107"/>
      <c r="C41" s="108">
        <v>659</v>
      </c>
      <c r="D41" s="109" t="s">
        <v>339</v>
      </c>
      <c r="E41" s="109" t="s">
        <v>471</v>
      </c>
      <c r="F41" s="110"/>
    </row>
    <row r="42" spans="2:7">
      <c r="B42" s="104">
        <v>66</v>
      </c>
      <c r="C42" s="105" t="s">
        <v>340</v>
      </c>
      <c r="D42" s="114"/>
      <c r="E42" s="114" t="s">
        <v>472</v>
      </c>
      <c r="F42" s="106">
        <f>+F43</f>
        <v>-5054946.8600000003</v>
      </c>
    </row>
    <row r="43" spans="2:7">
      <c r="B43" s="107"/>
      <c r="C43" s="108">
        <v>660</v>
      </c>
      <c r="D43" s="109" t="s">
        <v>341</v>
      </c>
      <c r="E43" s="109" t="s">
        <v>473</v>
      </c>
      <c r="F43" s="110">
        <v>-5054946.8600000003</v>
      </c>
    </row>
    <row r="44" spans="2:7" ht="10.5" thickBot="1">
      <c r="B44" s="107"/>
      <c r="C44" s="108">
        <v>661</v>
      </c>
      <c r="D44" s="109" t="s">
        <v>342</v>
      </c>
      <c r="E44" s="109" t="s">
        <v>474</v>
      </c>
      <c r="F44" s="110"/>
      <c r="G44" s="116"/>
    </row>
    <row r="45" spans="2:7" ht="11" thickTop="1" thickBot="1">
      <c r="B45" s="111"/>
      <c r="C45" s="112" t="s">
        <v>343</v>
      </c>
      <c r="D45" s="112"/>
      <c r="E45" s="112" t="s">
        <v>464</v>
      </c>
      <c r="F45" s="113">
        <f>+F24+F25+F35+F42</f>
        <v>3354666.6199999964</v>
      </c>
    </row>
    <row r="46" spans="2:7" ht="10.5" thickTop="1">
      <c r="B46" s="97">
        <v>67</v>
      </c>
      <c r="C46" s="98" t="s">
        <v>344</v>
      </c>
      <c r="D46" s="98"/>
      <c r="E46" s="98" t="s">
        <v>475</v>
      </c>
      <c r="F46" s="99">
        <f>SUM(F47:F48)</f>
        <v>402.82</v>
      </c>
    </row>
    <row r="47" spans="2:7">
      <c r="B47" s="100"/>
      <c r="C47" s="101">
        <v>671</v>
      </c>
      <c r="D47" s="102" t="s">
        <v>345</v>
      </c>
      <c r="E47" s="102" t="s">
        <v>368</v>
      </c>
      <c r="F47" s="103"/>
      <c r="G47" s="135"/>
    </row>
    <row r="48" spans="2:7">
      <c r="B48" s="100"/>
      <c r="C48" s="101">
        <v>679</v>
      </c>
      <c r="D48" s="102" t="s">
        <v>346</v>
      </c>
      <c r="E48" s="102" t="s">
        <v>369</v>
      </c>
      <c r="F48" s="103">
        <v>402.82</v>
      </c>
    </row>
    <row r="49" spans="2:11">
      <c r="B49" s="104">
        <v>68</v>
      </c>
      <c r="C49" s="105" t="s">
        <v>347</v>
      </c>
      <c r="D49" s="105"/>
      <c r="E49" s="105" t="s">
        <v>476</v>
      </c>
      <c r="F49" s="106">
        <f>SUM(F50:F52)</f>
        <v>-451967.08</v>
      </c>
      <c r="G49" s="116"/>
    </row>
    <row r="50" spans="2:11">
      <c r="B50" s="107"/>
      <c r="C50" s="108">
        <v>680</v>
      </c>
      <c r="D50" s="109" t="s">
        <v>348</v>
      </c>
      <c r="E50" s="109" t="s">
        <v>477</v>
      </c>
      <c r="F50" s="110"/>
    </row>
    <row r="51" spans="2:11">
      <c r="B51" s="107"/>
      <c r="C51" s="108">
        <v>681</v>
      </c>
      <c r="D51" s="109" t="s">
        <v>349</v>
      </c>
      <c r="E51" s="109" t="s">
        <v>478</v>
      </c>
      <c r="F51" s="110"/>
    </row>
    <row r="52" spans="2:11" ht="10.5" thickBot="1">
      <c r="B52" s="107"/>
      <c r="C52" s="108">
        <v>689</v>
      </c>
      <c r="D52" s="109" t="s">
        <v>350</v>
      </c>
      <c r="E52" s="109" t="s">
        <v>479</v>
      </c>
      <c r="F52" s="110">
        <v>-451967.08</v>
      </c>
    </row>
    <row r="53" spans="2:11" ht="11" thickTop="1" thickBot="1">
      <c r="B53" s="111">
        <v>69</v>
      </c>
      <c r="C53" s="112" t="s">
        <v>351</v>
      </c>
      <c r="D53" s="112"/>
      <c r="E53" s="112" t="s">
        <v>352</v>
      </c>
      <c r="F53" s="113">
        <f>+F45+F46+F49</f>
        <v>2903102.3599999961</v>
      </c>
      <c r="G53" s="116"/>
      <c r="H53" s="116"/>
      <c r="J53" s="116"/>
    </row>
    <row r="54" spans="2:11" ht="11" thickTop="1" thickBot="1">
      <c r="B54" s="111"/>
      <c r="C54" s="108">
        <v>691</v>
      </c>
      <c r="D54" s="109" t="s">
        <v>353</v>
      </c>
      <c r="E54" s="109" t="s">
        <v>480</v>
      </c>
      <c r="F54" s="110">
        <v>-641661.35</v>
      </c>
    </row>
    <row r="55" spans="2:11" ht="11" thickTop="1" thickBot="1">
      <c r="B55" s="111"/>
      <c r="C55" s="112" t="s">
        <v>354</v>
      </c>
      <c r="D55" s="112"/>
      <c r="E55" s="112" t="s">
        <v>355</v>
      </c>
      <c r="F55" s="113">
        <f>+F53+F54</f>
        <v>2261441.0099999961</v>
      </c>
      <c r="H55" s="116"/>
      <c r="K55" s="116"/>
    </row>
    <row r="56" spans="2:11" ht="10.5" thickTop="1">
      <c r="B56" s="92"/>
      <c r="C56" s="93"/>
      <c r="D56" s="94"/>
      <c r="E56" s="94"/>
      <c r="F56" s="115"/>
      <c r="G56" s="116"/>
    </row>
    <row r="57" spans="2:11">
      <c r="F57" s="129"/>
      <c r="G57" s="116"/>
    </row>
    <row r="61" spans="2:11">
      <c r="G61" s="116"/>
    </row>
    <row r="63" spans="2:11">
      <c r="E63" s="130"/>
      <c r="F63" s="129"/>
    </row>
  </sheetData>
  <mergeCells count="3">
    <mergeCell ref="B4:E4"/>
    <mergeCell ref="B2:F2"/>
    <mergeCell ref="B3:F3"/>
  </mergeCells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F4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BALANCE SHEET - ASSETS</vt:lpstr>
      <vt:lpstr>BALANCE SHEET - LIABILITIES</vt:lpstr>
      <vt:lpstr>INCOME STATEMENT</vt:lpstr>
      <vt:lpstr>'BALANCE SHEET - ASSETS'!Print_Area</vt:lpstr>
      <vt:lpstr>'BALANCE SHEET - LIABILITIES'!Print_Area</vt:lpstr>
      <vt:lpstr>'INCOME STATEMENT'!Print_Area</vt:lpstr>
    </vt:vector>
  </TitlesOfParts>
  <Company>ismmmo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Selcen</dc:creator>
  <cp:lastModifiedBy>Kerimcan Aycibin</cp:lastModifiedBy>
  <cp:lastPrinted>2020-02-10T13:40:04Z</cp:lastPrinted>
  <dcterms:created xsi:type="dcterms:W3CDTF">2001-09-28T14:03:11Z</dcterms:created>
  <dcterms:modified xsi:type="dcterms:W3CDTF">2020-08-21T13:27:02Z</dcterms:modified>
</cp:coreProperties>
</file>